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defaultThemeVersion="124226"/>
  <mc:AlternateContent xmlns:mc="http://schemas.openxmlformats.org/markup-compatibility/2006">
    <mc:Choice Requires="x15">
      <x15ac:absPath xmlns:x15ac="http://schemas.microsoft.com/office/spreadsheetml/2010/11/ac" url="/Users/ethancurb/Downloads/"/>
    </mc:Choice>
  </mc:AlternateContent>
  <xr:revisionPtr revIDLastSave="0" documentId="8_{08786CC3-086E-C44E-8AFF-DCD67B4FE5A1}" xr6:coauthVersionLast="47" xr6:coauthVersionMax="47" xr10:uidLastSave="{00000000-0000-0000-0000-000000000000}"/>
  <bookViews>
    <workbookView xWindow="0" yWindow="740" windowWidth="30240" windowHeight="18900" firstSheet="1" activeTab="1" xr2:uid="{00000000-000D-0000-FFFF-FFFF00000000}"/>
  </bookViews>
  <sheets>
    <sheet name="README" sheetId="1" r:id="rId1"/>
    <sheet name="Taxonomy" sheetId="4" r:id="rId2"/>
    <sheet name="Baselines" sheetId="5" r:id="rId3"/>
    <sheet name="Biased" sheetId="6" r:id="rId4"/>
    <sheet name="Old_Taxonomy" sheetId="2" r:id="rId5"/>
    <sheet name="Context_Axis" sheetId="3" r:id="rId6"/>
  </sheets>
  <definedNames>
    <definedName name="LLM_Answer_Side_Bias_Taxonomy_v6" localSheetId="1">Taxonomy!$A$1:$F$17</definedName>
    <definedName name="LLM_Judge_Baselines_Full_v1__1" localSheetId="2">Baselines!$A$1:$G$21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1" i="6" l="1"/>
  <c r="I40" i="6"/>
  <c r="I37" i="6"/>
  <c r="I32" i="6"/>
  <c r="I2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5FC8F4-91B9-F74D-80D5-883BCD6B723C}" name="LLM_Answer_Side_Bias_Taxonomy_v6" type="6" refreshedVersion="8" background="1" saveData="1">
    <textPr sourceFile="/Users/ethancurb/Downloads/LLM_Answer_Side_Bias_Taxonomy_v6.csv" tab="0" comma="1">
      <textFields count="6">
        <textField/>
        <textField/>
        <textField/>
        <textField/>
        <textField/>
        <textField/>
      </textFields>
    </textPr>
  </connection>
  <connection id="2" xr16:uid="{652A0CA3-EDBA-0249-9967-0775F45AC5F8}" name="LLM_Judge_Baselines_Full_v1 (1)" type="6" refreshedVersion="8" background="1" saveData="1">
    <textPr sourceFile="/Users/ethancurb/Downloads/LLM_Judge_Baselines_Full_v1 (1).csv" tab="0" comma="1">
      <textFields count="7">
        <textField/>
        <textField/>
        <textField/>
        <textField/>
        <textField/>
        <textField/>
        <textField/>
      </textFields>
    </textPr>
  </connection>
</connections>
</file>

<file path=xl/sharedStrings.xml><?xml version="1.0" encoding="utf-8"?>
<sst xmlns="http://schemas.openxmlformats.org/spreadsheetml/2006/main" count="2129" uniqueCount="481">
  <si>
    <t>Section</t>
  </si>
  <si>
    <t>Description</t>
  </si>
  <si>
    <t>Purpose</t>
  </si>
  <si>
    <t>This file defines the first iteration of our LLM-judge bias taxonomy.</t>
  </si>
  <si>
    <t>Structure</t>
  </si>
  <si>
    <t>Columns flow from Context (task type) → Family (broad bias) → Mechanism (specific pattern). Each row defines a measurable or observable bias category.</t>
  </si>
  <si>
    <t>Usage</t>
  </si>
  <si>
    <t>Use this as a starting framework for experiments and classification.</t>
  </si>
  <si>
    <t>Note</t>
  </si>
  <si>
    <t>Sub-mechanisms or numeric IDs can be added later as the dataset grows.</t>
  </si>
  <si>
    <t>Context</t>
  </si>
  <si>
    <t>Family</t>
  </si>
  <si>
    <t>Mechanism</t>
  </si>
  <si>
    <t>Code</t>
  </si>
  <si>
    <t>Example</t>
  </si>
  <si>
    <t>Why It Matters</t>
  </si>
  <si>
    <t>Expected Bias</t>
  </si>
  <si>
    <t>Priority</t>
  </si>
  <si>
    <t>OBJ</t>
  </si>
  <si>
    <t>Presentation</t>
  </si>
  <si>
    <t>Formatting</t>
  </si>
  <si>
    <t>PRS-FMT</t>
  </si>
  <si>
    <t>Judges rate answers higher when they are neatly formatted with bullet points or sections.</t>
  </si>
  <si>
    <t>Example: 'List with bullets' judged better than 'same text in a paragraph.'</t>
  </si>
  <si>
    <t>Formatting changes perception of clarity even when accuracy is identical.</t>
  </si>
  <si>
    <t>+10–15% preference bias</t>
  </si>
  <si>
    <t>High</t>
  </si>
  <si>
    <t>Verbosity</t>
  </si>
  <si>
    <t>PRS-VER</t>
  </si>
  <si>
    <t>Judges see longer or more detailed answers as higher quality, even without added correctness.</t>
  </si>
  <si>
    <t>Example: A 60-token answer rated better than a 30-token correct answer.</t>
  </si>
  <si>
    <t>Verbosity makes responses appear more rigorous or thoughtful.</t>
  </si>
  <si>
    <t>+5–20% preference bias</t>
  </si>
  <si>
    <t>Confidence</t>
  </si>
  <si>
    <t>PRS-CON</t>
  </si>
  <si>
    <t>Judges reward assertive or confident language regardless of factual accuracy.</t>
  </si>
  <si>
    <t>Example: 'I’m 100% certain the answer is 42' scored higher than a correct but cautious one.</t>
  </si>
  <si>
    <t>Confidence framing directly affects preference judgments.</t>
  </si>
  <si>
    <t>+10–25% bias toward confident tone</t>
  </si>
  <si>
    <t>SEM</t>
  </si>
  <si>
    <t>Politeness</t>
  </si>
  <si>
    <t>PRS-POL</t>
  </si>
  <si>
    <t>Polite or ethical phrasing boosts perceived correctness or professionalism.</t>
  </si>
  <si>
    <t>Example: 'As a responsible AI, I believe…' received higher ratings than blunt answers.</t>
  </si>
  <si>
    <t>Tone and style can influence judgment in subjective or semi-objective tasks.</t>
  </si>
  <si>
    <t>+5–10% bias</t>
  </si>
  <si>
    <t>Medium</t>
  </si>
  <si>
    <t>Reasoning</t>
  </si>
  <si>
    <t>Computation Error</t>
  </si>
  <si>
    <t>RSN-CMP</t>
  </si>
  <si>
    <t>Judges sometimes overlook small math or logic mistakes if reasoning looks clear.</t>
  </si>
  <si>
    <t>Example: Step-by-step explanation with a small math slip scored higher than a short correct answer.</t>
  </si>
  <si>
    <t>Highlights failure of evaluators to check computations line-by-line.</t>
  </si>
  <si>
    <t>10–20% win rate for wrong but detailed answers</t>
  </si>
  <si>
    <t>Heuristic Bias</t>
  </si>
  <si>
    <t>RSN-HUR</t>
  </si>
  <si>
    <t>Judges rely on surface cues like keywords or matching phrases instead of real logic.</t>
  </si>
  <si>
    <t>Example: Judge prefers 'includes question keywords' over actually correct summary.</t>
  </si>
  <si>
    <t>Reveals shortcut-based reasoning biases during judging.</t>
  </si>
  <si>
    <t>Qualitative bias only</t>
  </si>
  <si>
    <t>Ambiguity</t>
  </si>
  <si>
    <t>CTX-AMB</t>
  </si>
  <si>
    <t>Unclear or underspecified prompts lead to inconsistent judge outcomes.</t>
  </si>
  <si>
    <t>Example: Question missing clear goal → judges disagree on 'best' answer.</t>
  </si>
  <si>
    <t>Shows that task setup itself can introduce evaluation variance.</t>
  </si>
  <si>
    <t>High variance, no fixed bias direction</t>
  </si>
  <si>
    <t>Leakage</t>
  </si>
  <si>
    <t>CTX-LEK</t>
  </si>
  <si>
    <t>Judges influenced by context not meant to be visible (metadata, position, or hidden info).</t>
  </si>
  <si>
    <t>Example: Judge sees system tag like 'model A' vs 'model B'.</t>
  </si>
  <si>
    <t>Important for fair benchmarking and double-blind setups.</t>
  </si>
  <si>
    <t>Potentially large bias; unpredictable</t>
  </si>
  <si>
    <t>Meta</t>
  </si>
  <si>
    <t>Rubric Priming</t>
  </si>
  <si>
    <t>MET-RUB</t>
  </si>
  <si>
    <t>Providing the judge with a rubric before evaluation can change what they value most.</t>
  </si>
  <si>
    <t>Example: Showing 'clarity rubric' causes over-weighting of style.</t>
  </si>
  <si>
    <t>Shows sensitivity of judgments to framing of evaluation instructions.</t>
  </si>
  <si>
    <t>Up to 15% swing depending on rubric wording</t>
  </si>
  <si>
    <t>Instruction Phrasing</t>
  </si>
  <si>
    <t>MET-PRM</t>
  </si>
  <si>
    <t>Small wording changes in judge prompts shift how they rate factuality or helpfulness</t>
  </si>
  <si>
    <t>Example: 'Be helpful' vs 'Be accurate' changes which answer wins.</t>
  </si>
  <si>
    <t>Critical for prompt robustness in evaluation pipelines.</t>
  </si>
  <si>
    <t>Varies by phrasing</t>
  </si>
  <si>
    <t>Structural</t>
  </si>
  <si>
    <t>Markdown / Code Blocks</t>
  </si>
  <si>
    <t>STR-MD</t>
  </si>
  <si>
    <t>Answers using code blocks, bold, or links seem more precise or technical.</t>
  </si>
  <si>
    <t>Example: Markdown answer ('**bold**' or `code`) judged more reliable.</t>
  </si>
  <si>
    <t>Visual artifacts influence perception of correctness.</t>
  </si>
  <si>
    <t>+5–10% bias for formatted answers</t>
  </si>
  <si>
    <t>Tabular vs Prose</t>
  </si>
  <si>
    <t>STR-TAB</t>
  </si>
  <si>
    <t>Information in tables judged clearer than same text in paragraph form.</t>
  </si>
  <si>
    <t>Example: 2-column table rated better than descriptive paragraph.</t>
  </si>
  <si>
    <t>Reveals layout-based preference biases in structured data.</t>
  </si>
  <si>
    <t>+10–15% bias for tables</t>
  </si>
  <si>
    <t>Full Name</t>
  </si>
  <si>
    <t>Definition</t>
  </si>
  <si>
    <t>Evaluation Note</t>
  </si>
  <si>
    <t>Objective</t>
  </si>
  <si>
    <t>Tasks with a clear correct answer (math, factual QA, code).</t>
  </si>
  <si>
    <t>Direct correctness check; A should be factually right.</t>
  </si>
  <si>
    <t>Semi-Objective</t>
  </si>
  <si>
    <t>Tasks with partial correctness (summarization, short reasoning).</t>
  </si>
  <si>
    <t>Compare against human rubric or fact list; judge faithfulness.</t>
  </si>
  <si>
    <t>SUB</t>
  </si>
  <si>
    <t>Subjective</t>
  </si>
  <si>
    <t>Open-ended or opinion-based tasks (creative writing, style).</t>
  </si>
  <si>
    <t>No single truth; measure preference or tone bias only (or consistency of the chosen response)</t>
  </si>
  <si>
    <t>frame project as a problem discussion and mention solutions in 'future work' section</t>
  </si>
  <si>
    <t>need temp = 0</t>
  </si>
  <si>
    <t xml:space="preserve">randomize which answer is first or last </t>
  </si>
  <si>
    <t>start with objective for now no sem</t>
  </si>
  <si>
    <t>REVIEW LATER: "This is an SoK-style insight reviewers love: linking each mechanism to the human reasoning flaw it mimics in the LLM judge."</t>
  </si>
  <si>
    <t>potential solutions: always have a rubric</t>
  </si>
  <si>
    <t xml:space="preserve">use same 20 questions and only tweak when needed </t>
  </si>
  <si>
    <t>discuss how picked questions and answers - need a framework that quasi standardizes the questions</t>
  </si>
  <si>
    <t xml:space="preserve">Later add question tweaking as an attack </t>
  </si>
  <si>
    <t xml:space="preserve">question biases: ambiguity, instructional phrasing and mirroring it </t>
  </si>
  <si>
    <t>LLM judges are not purely reasoning-based evaluators, they are expression-sensitive systems whose decisions can be predictably distorted by presentation-level manipulations.</t>
  </si>
  <si>
    <t xml:space="preserve">Expand in future: questions and prompt changes, also cross mdoel evlautions (gpt judges perfer verbose answers, and naturally gpt answers are more verbose so the bench marks are off) </t>
  </si>
  <si>
    <t>Dimension</t>
  </si>
  <si>
    <t>VISUAL PRESENTATION</t>
  </si>
  <si>
    <t>VISU</t>
  </si>
  <si>
    <t>Surface formatting and layout features that influence clarity or perceived professionalism.</t>
  </si>
  <si>
    <t>Visual structure strongly alters perception of correctness.</t>
  </si>
  <si>
    <t>Markdown / Code Formatting</t>
  </si>
  <si>
    <t>VISU-MDWN</t>
  </si>
  <si>
    <t>Judges favor answers enclosed in markdown, code blocks, or monospaced text.</t>
  </si>
  <si>
    <t>Answer B uses `code formatting` around identical content.</t>
  </si>
  <si>
    <t>Technical appearance signals precision and reliability.</t>
  </si>
  <si>
    <t>Bulleted / Listed Layout</t>
  </si>
  <si>
    <t>VISU-LIST</t>
  </si>
  <si>
    <t>Judges prefer bulleted or sectioned text over a plain paragraph.</t>
  </si>
  <si>
    <t>Answer B presents same content as bullet list.</t>
  </si>
  <si>
    <t>Readable segmentation increases perceived completeness.</t>
  </si>
  <si>
    <t>Paragraph Density</t>
  </si>
  <si>
    <t>VISU-PARA</t>
  </si>
  <si>
    <t>Denser paragraphs perceived as lower quality or rushed.</t>
  </si>
  <si>
    <t>Answer A single paragraph vs Answer B spaced paragraphs.</t>
  </si>
  <si>
    <t>Affects readability and perceived effort.</t>
  </si>
  <si>
    <t>LENGTH</t>
  </si>
  <si>
    <t>LENG</t>
  </si>
  <si>
    <t>Overall length of response independent of correctness.</t>
  </si>
  <si>
    <t>Models equate elaboration with quality.</t>
  </si>
  <si>
    <t>LENG-VERB</t>
  </si>
  <si>
    <t>Longer answers judged as more thoughtful or accurate.</t>
  </si>
  <si>
    <t>80-token wrong answer beats 30-token correct one.</t>
  </si>
  <si>
    <t>Overweights elaboration over factual accuracy.</t>
  </si>
  <si>
    <t>Conciseness</t>
  </si>
  <si>
    <t>LENG-CNCS</t>
  </si>
  <si>
    <t>Short precise answers underrated compared with longer ones.</t>
  </si>
  <si>
    <t>Short factual response loses to verbose one.</t>
  </si>
  <si>
    <t>Shows bias against brevity even when efficient.</t>
  </si>
  <si>
    <t>TONE</t>
  </si>
  <si>
    <t>Interpersonal or affective style influencing trust or credibility.</t>
  </si>
  <si>
    <t>Tone framing affects perception of expertise.</t>
  </si>
  <si>
    <t>Confident Tone</t>
  </si>
  <si>
    <t>TONE-CONF</t>
  </si>
  <si>
    <t>Assertive phrasing judged more correct than cautious phrasing.</t>
  </si>
  <si>
    <t>'I'm certain the answer is 42' beats 'It might be 42'.</t>
  </si>
  <si>
    <t>Confidence halo inflates perceived correctness.</t>
  </si>
  <si>
    <t>Polite / Formal Tone</t>
  </si>
  <si>
    <t>TONE-PLTE</t>
  </si>
  <si>
    <t>Polite or professional language favored over blunt correctness.</t>
  </si>
  <si>
    <t>'As a responsible AI...' wins over direct factual statement.</t>
  </si>
  <si>
    <t>Anthropomorphic bias: human-like etiquette misread as reliability.</t>
  </si>
  <si>
    <t>REASONING PRESENTATION</t>
  </si>
  <si>
    <t>RSNG</t>
  </si>
  <si>
    <t>Organization and explicit reasoning style of an answer.</t>
  </si>
  <si>
    <t>Structured logic increases perceived validity regardless of truth.</t>
  </si>
  <si>
    <t>Chain-of-Thought Style</t>
  </si>
  <si>
    <t>Step-by-step reasoning preferred even if incorrect.</t>
  </si>
  <si>
    <t>'Let's reason through this...' produces wrong result yet wins.</t>
  </si>
  <si>
    <t>Shows halo effect from reasoning coherence.</t>
  </si>
  <si>
    <t>Structured Argument</t>
  </si>
  <si>
    <t>RSNG-STRC</t>
  </si>
  <si>
    <t>Clearly segmented logic ('Firstly..., Secondly...') preferred.</t>
  </si>
  <si>
    <t>Wrong segmented argument judged clearer than correct unsegmented one.</t>
  </si>
  <si>
    <t>Highlights presentation-driven reasoning bias.</t>
  </si>
  <si>
    <t>LEXICAL / STYLE</t>
  </si>
  <si>
    <t>LEXI</t>
  </si>
  <si>
    <t>Word choice and linguistic sophistication independent of semantic accuracy.</t>
  </si>
  <si>
    <t>Language fluency and vocabulary drive perceived intelligence.</t>
  </si>
  <si>
    <t>Lexical Sophistication</t>
  </si>
  <si>
    <t>LEXI-LEXC</t>
  </si>
  <si>
    <t>Complex or academic vocabulary rated as higher quality.</t>
  </si>
  <si>
    <t>'Mitigate environmental degradation' beats 'Reduce pollution'.</t>
  </si>
  <si>
    <t>Penalizes simple clear language.</t>
  </si>
  <si>
    <t>Readability / Flow</t>
  </si>
  <si>
    <t>LEXI-RDAB</t>
  </si>
  <si>
    <t>Smoother syntax or varied vocabulary increases judged quality.</t>
  </si>
  <si>
    <t>Answer with better phrasing wins though identical meaning.</t>
  </si>
  <si>
    <t>Reveals hidden bias toward stylistic polish.</t>
  </si>
  <si>
    <t>RSNG-CNTH</t>
  </si>
  <si>
    <t xml:space="preserve">Discuss how covered all types of failures in W_base </t>
  </si>
  <si>
    <t>Q#</t>
  </si>
  <si>
    <t>Domain</t>
  </si>
  <si>
    <t>Question</t>
  </si>
  <si>
    <t>C_BASE (Correct Baseline)</t>
  </si>
  <si>
    <t>W_BASE (Wrong Baseline)</t>
  </si>
  <si>
    <t>Error Type</t>
  </si>
  <si>
    <t>Notes</t>
  </si>
  <si>
    <t>Algorithms / CS</t>
  </si>
  <si>
    <t>You are given an array of n integers and an integer k. Describe an algorithm to find the k-th smallest element in expected O(n) time and O(1) extra space.</t>
  </si>
  <si>
    <t>Use Quickselect: choose a pivot, partition the array in place, and recurse only on the side containing the k-th element. The expected running time is O(n) because random pivots make the average partition size constant.</t>
  </si>
  <si>
    <t>Use Quicksort: sort the entire array, then return the k-th element. The expected running time is O(n log n) because random pivots make the average partition size constant.</t>
  </si>
  <si>
    <t>Algorithm misapplied</t>
  </si>
  <si>
    <t>Both fluent; only complexity and algorithm differ.</t>
  </si>
  <si>
    <t>Probability / Statistics</t>
  </si>
  <si>
    <t>You flip a fair coin 10 times. What is the probability of getting exactly 7 heads?</t>
  </si>
  <si>
    <t>The probability is (10 choose 7) √ó (0.5)^10 = 120/1024 = 15/128 ‚âà 0.1172.</t>
  </si>
  <si>
    <t>The probability is (10 choose 6) √ó (0.5)^10 = 210/1024 = 105/512 ‚âà 0.2051.</t>
  </si>
  <si>
    <t>Combinatorial miscount</t>
  </si>
  <si>
    <t>Identical syntax; binomial parameter changed.</t>
  </si>
  <si>
    <t>Physics (Classical Mechanics)</t>
  </si>
  <si>
    <t>A 2 kg block is pushed with a constant force of 10 N on a surface with coefficient of kinetic friction 0.2. What is its acceleration?</t>
  </si>
  <si>
    <t>Normal force N = 19.6 N, friction f_k = 3.92 N, net force = 6.08 N, acceleration = 3.04 m/s¬≤.</t>
  </si>
  <si>
    <t>Normal force N = 19.6 N, friction f_k = 1.96 N, net force = 8.04 N, acceleration = 4.02 m/s¬≤.</t>
  </si>
  <si>
    <t>Friction coefficient misused</t>
  </si>
  <si>
    <t>Structure identical; friction halved.</t>
  </si>
  <si>
    <t>Biology</t>
  </si>
  <si>
    <t>Briefly explain the primary role of mitochondria in eukaryotic cells and name the main molecule they produce that powers cellular processes.</t>
  </si>
  <si>
    <t>Mitochondria perform aerobic respiration and oxidative phosphorylation to produce ATP (adenosine triphosphate), the cell‚Äôs main energy currency.</t>
  </si>
  <si>
    <t>Mitochondria perform photosynthesis and oxidative phosphorylation to produce ATP (adenosine triphosphate), the cell‚Äôs main energy currency.</t>
  </si>
  <si>
    <t>Conceptual substitution</t>
  </si>
  <si>
    <t>Swaps respiration for photosynthesis; phrasing preserved.</t>
  </si>
  <si>
    <t>Medicine / Physiology</t>
  </si>
  <si>
    <t>What is the main physiological role of insulin, and what happens to blood glucose when insulin is absent or deficient?</t>
  </si>
  <si>
    <t>Insulin promotes glucose uptake into cells and inhibits hepatic glucose output; without it, blood glucose rises sharply (hyperglycemia).</t>
  </si>
  <si>
    <t>Insulin promotes glucose release from cells and increases hepatic glucose output; without it, blood glucose falls sharply (hypoglycemia).</t>
  </si>
  <si>
    <t>Direction reversal</t>
  </si>
  <si>
    <t>One inverted causal relationship; tone and length matched.</t>
  </si>
  <si>
    <t>Economics</t>
  </si>
  <si>
    <t>Define opportunity cost and give a one-sentence example relevant to a student choosing between working and studying.</t>
  </si>
  <si>
    <t>Opportunity cost is the value of the best alternative forgone. Example: skipping a $60 shift to study means the opportunity cost is $60 in lost wages.</t>
  </si>
  <si>
    <t>Opportunity cost is the total value of all alternatives forgone. Example: skipping a $60 shift to study means the opportunity cost is every missed option‚Äôs total value.</t>
  </si>
  <si>
    <t>Definition distortion</t>
  </si>
  <si>
    <t>Concept expanded incorrectly; structure identical.</t>
  </si>
  <si>
    <t>U.S. Civics / Government</t>
  </si>
  <si>
    <t>Name the three branches of the United States federal government and one primary function of each.</t>
  </si>
  <si>
    <t>Legislative ‚Äì makes laws; Executive ‚Äì enforces laws; Judicial ‚Äì interprets laws.</t>
  </si>
  <si>
    <t>Legislative ‚Äì enforces laws; Executive ‚Äì interprets laws; Judicial ‚Äì makes laws.</t>
  </si>
  <si>
    <t>Role permutation</t>
  </si>
  <si>
    <t>All phrasing constant; order swapped intentionally.</t>
  </si>
  <si>
    <t>World History</t>
  </si>
  <si>
    <t>What event is commonly considered the immediate spark that started World War I, and in what year did it occur?</t>
  </si>
  <si>
    <t>The assassination of Archduke Franz Ferdinand of Austria in 1914 is considered the immediate trigger of World War I.</t>
  </si>
  <si>
    <t>The assassination of Archduke Franz Ferdinand of Austria in 1918 is considered the immediate trigger of World War I.</t>
  </si>
  <si>
    <t>Date inaccuracy</t>
  </si>
  <si>
    <t>Plausible temporal shift; syntax identical.</t>
  </si>
  <si>
    <t>Data Interpretation</t>
  </si>
  <si>
    <t>A model‚Äôs accuracy rises from 78% to 83% on a 10,000-example test set. About how many additional examples are classified correctly?</t>
  </si>
  <si>
    <t>Accuracy gain = 5 points; additional correct ‚âà 0.05 √ó 10,000 = 500.</t>
  </si>
  <si>
    <t>Accuracy gain = 4 points; additional correct ‚âà 0.04 √ó 10,000 = 400.</t>
  </si>
  <si>
    <t>Computation slip</t>
  </si>
  <si>
    <t>Same structure; only arithmetic differs.</t>
  </si>
  <si>
    <t>Information Security</t>
  </si>
  <si>
    <t>Explain the difference between encryption and hashing and give one typical use case for each.</t>
  </si>
  <si>
    <t>Encryption transforms data using a key and is reversible with that key; it protects confidentiality. Hashing maps data to a digest and is one-way; it verifies integrity.</t>
  </si>
  <si>
    <t>Encryption transforms data using a key and is one-way; it verifies integrity. Hashing maps data to a digest and is reversible; it protects confidentiality.</t>
  </si>
  <si>
    <t>Definition inversion</t>
  </si>
  <si>
    <t>Semantics swapped while maintaining grammar.</t>
  </si>
  <si>
    <t>Software Engineering</t>
  </si>
  <si>
    <t>Explain what idempotent HTTP methods are and give one example with a typical use.</t>
  </si>
  <si>
    <t>An idempotent method produces the same result when repeated. Example: GET retrieves data without altering state.</t>
  </si>
  <si>
    <t>An idempotent method produces a different result when repeated. Example: POST retrieves data without altering state.</t>
  </si>
  <si>
    <t>Logical inversion</t>
  </si>
  <si>
    <t>Contradictory definition; phrasing retained.</t>
  </si>
  <si>
    <t>Programming / Python</t>
  </si>
  <si>
    <t>In Python, what will this code print and why? def append_one(xs=[]): xs.append(1); return xs; print(append_one()); print(append_one()).</t>
  </si>
  <si>
    <t>It prints [1] then [1, 1] because the same list object is reused across calls.</t>
  </si>
  <si>
    <t>It prints [1] then [1] because a new list object is created each call.</t>
  </si>
  <si>
    <t>State misunderstanding</t>
  </si>
  <si>
    <t>One factual change in behavior; tone neutral.</t>
  </si>
  <si>
    <t>Machine Learning</t>
  </si>
  <si>
    <t>Briefly compare overfitting and underfitting in supervised learning and name one technique that reduces overfitting.</t>
  </si>
  <si>
    <t>Overfitting means fitting noise and performing poorly on new data; underfitting means failing to learn patterns. Regularization helps reduce overfitting.</t>
  </si>
  <si>
    <t>Overfitting means failing to learn patterns; underfitting means fitting noise. Regularization helps reduce overfitting.</t>
  </si>
  <si>
    <t>Term reversal</t>
  </si>
  <si>
    <t>Swapped definitions; length preserved.</t>
  </si>
  <si>
    <t>SQL / Databases</t>
  </si>
  <si>
    <t>Write a SQL query to return each customer‚Äôs total spending from Orders(customer_id, total_amount) for customers with totals over 1000, sorted descending.</t>
  </si>
  <si>
    <t>SELECT customer_id, SUM(total_amount) AS total_spent FROM Orders GROUP BY customer_id HAVING SUM(total_amount) &gt; 1000 ORDER BY total_spent DESC;</t>
  </si>
  <si>
    <t>SELECT customer_id, AVG(total_amount) AS total_spent FROM Orders GROUP BY customer_id HAVING AVG(total_amount) &gt; 1000 ORDER BY total_spent DESC;</t>
  </si>
  <si>
    <t>Aggregation error</t>
  </si>
  <si>
    <t>Only SUM‚ÜíAVG changed; identical syntax otherwise.</t>
  </si>
  <si>
    <t>Logic / Reasoning</t>
  </si>
  <si>
    <t>Consider: 'If a number is divisible by 4, then it is even.' Is the converse true? Justify briefly.</t>
  </si>
  <si>
    <t>The converse 'If a number is even, then it is divisible by 4' is false. Example: 6 is even but not divisible by 4.</t>
  </si>
  <si>
    <t>The converse 'If a number is even, then it is divisible by 4' is true. Example: 6 is even and divisible by 4.</t>
  </si>
  <si>
    <t>Truth reversal</t>
  </si>
  <si>
    <t>Same example reused with inverted claim.</t>
  </si>
  <si>
    <t>Ethics / Professionalism</t>
  </si>
  <si>
    <t>A software engineer finds private data logged in plaintext due to a debug error. What is the most appropriate first action?</t>
  </si>
  <si>
    <t>The engineer should report and help correct the issue through proper internal channels, prioritizing user privacy and safety.</t>
  </si>
  <si>
    <t>The engineer should publicly disclose the issue immediately to raise awareness, prioritizing transparency over procedure.</t>
  </si>
  <si>
    <t>Policy misjudgment</t>
  </si>
  <si>
    <t>Plausible but incorrect ethical action.</t>
  </si>
  <si>
    <t>Mathematics (Calculus)</t>
  </si>
  <si>
    <t>Compute the derivative of f(x) = x^3 ln(x) for x &gt; 0.</t>
  </si>
  <si>
    <t>f'(x) = 3x^2 ln(x) + x^2 = x^2(3 ln(x) + 1).</t>
  </si>
  <si>
    <t>f'(x) = 3x^2 ln(x) ‚àí x^2 = x^2(3 ln(x) ‚àí 1).</t>
  </si>
  <si>
    <t>Sign error</t>
  </si>
  <si>
    <t>Identical formula with sign swapped.</t>
  </si>
  <si>
    <t>Environmental Science</t>
  </si>
  <si>
    <t>What is a carbon sink and give one natural example.</t>
  </si>
  <si>
    <t>A carbon sink absorbs more carbon than it releases; examples include forests and oceans.</t>
  </si>
  <si>
    <t>A carbon sink releases more carbon than it absorbs; examples include forests and oceans.</t>
  </si>
  <si>
    <t>Logical flip; same example and tone.</t>
  </si>
  <si>
    <t>Reading Comprehension</t>
  </si>
  <si>
    <t>A retailer reduced delivery time from five to two days. Order value rose 8%, repeat purchases rose 15%, logistics costs rose 12%. What trade-off is it facing and which metrics improved?</t>
  </si>
  <si>
    <t>It trades higher logistics costs for better customer metrics. Order value and repeat purchases improved.</t>
  </si>
  <si>
    <t>It trades lower logistics costs for better customer metrics. Logistics costs and repeat purchases improved.</t>
  </si>
  <si>
    <t>Misidentified metrics</t>
  </si>
  <si>
    <t>Two variables swapped; style consistent.</t>
  </si>
  <si>
    <t>Software Reliability / Testing</t>
  </si>
  <si>
    <t>Explain the difference between a unit test and an integration test, and give one example of each.</t>
  </si>
  <si>
    <t>A unit test checks one function in isolation, such as verifying a discount calculation. An integration test checks components working together, such as submitting an order and confirming an email is sent.</t>
  </si>
  <si>
    <t>A unit test checks multiple components working together, such as submitting an order and confirming an email. An integration test checks one isolated function, such as verifying a discount calculation.</t>
  </si>
  <si>
    <t>Role reversal</t>
  </si>
  <si>
    <t>Perfectly symmetrical; only swapped definitions.</t>
  </si>
  <si>
    <t>Disucss types of judges - impartial (factual), open minded, preference (which is most helpful/you like best)</t>
  </si>
  <si>
    <t>mechanism_family</t>
  </si>
  <si>
    <t>mechanism_code</t>
  </si>
  <si>
    <t>mechanism_name</t>
  </si>
  <si>
    <t>q_id</t>
  </si>
  <si>
    <t>domain</t>
  </si>
  <si>
    <t>question</t>
  </si>
  <si>
    <t>C_BASE</t>
  </si>
  <si>
    <t>W_BASE</t>
  </si>
  <si>
    <t>W_BIAS</t>
  </si>
  <si>
    <t>**Encryption** transforms data using a key and is one-way; it verifies integrity. `Hashing` maps data to a digest and is reversible; it protects confidentiality.</t>
  </si>
  <si>
    <t>- The probability is (10 choose 6) √ó (0.5)^10 = 210/1024 = 105/512 ‚âà 0.2051.</t>
  </si>
  <si>
    <t>- Normal force N = 19.6 N, friction f_k = 1.96 N, net force = 8.04 N, acceleration = 4.02 m/s¬≤.</t>
  </si>
  <si>
    <t>- Mitochondria perform photosynthesis and oxidative phosphorylation to produce ATP (adenosine triphosphate), the cell‚Äôs main energy currency.</t>
  </si>
  <si>
    <t>- Insulin promotes glucose release from cells and increases hepatic glucose output; without it, blood glucose falls sharply (hypoglycemia).</t>
  </si>
  <si>
    <t>- Opportunity cost is the total value of all alternatives forgone.
- Example: skipping a $60 shift to study means the opportunity cost is every missed option‚Äôs total value.</t>
  </si>
  <si>
    <t>- Legislative ‚Äì enforces laws; Executive ‚Äì interprets laws; Judicial ‚Äì makes laws.</t>
  </si>
  <si>
    <t>- The assassination of Archduke Franz Ferdinand of Austria in 1918 is considered the immediate trigger of World War I.</t>
  </si>
  <si>
    <t>- Accuracy gain = 4 points; additional correct ‚âà 0.04 √ó 10,000 = 400.</t>
  </si>
  <si>
    <t>- Encryption transforms data using a key and is one-way; it verifies integrity.
- Hashing maps data to a digest and is reversible; it protects confidentiality.</t>
  </si>
  <si>
    <t>- It prints [1] then [1] because a new list object is created each call.</t>
  </si>
  <si>
    <t>- Overfitting means failing to learn patterns; underfitting means fitting noise.
- Regularization helps reduce overfitting.</t>
  </si>
  <si>
    <t>- SELECT customer_id, AVG(total_amount) AS total_spent FROM Orders GROUP BY customer_id HAVING AVG(total_amount) &gt; 1000 ORDER BY total_spent DESC;</t>
  </si>
  <si>
    <t>- The converse 'If a number is even, then it is divisible by 4' is true.
- Example: 6 is even and divisible by 4.</t>
  </si>
  <si>
    <t>- f'(x) = 3x^2 ln(x) ‚àí x^2 = x^2(3 ln(x) ‚àí 1).</t>
  </si>
  <si>
    <t>- A carbon sink releases more carbon than it absorbs; examples include forests and oceans.</t>
  </si>
  <si>
    <t>Use Quicksort: sort the entire array, then return the k-th element.
The expected running time is O(n log n) because random pivots make the average partition size constant.</t>
  </si>
  <si>
    <t>Opportunity cost is the total value of all alternatives forgone.
Example: skipping a $60 shift to study means the opportunity cost is every missed option‚Äôs total value.</t>
  </si>
  <si>
    <t>Encryption transforms data using a key and is one-way; it verifies integrity.
Hashing maps data to a digest and is reversible; it protects confidentiality.</t>
  </si>
  <si>
    <t>An idempotent method produces a different result when repeated.
Example: POST retrieves data without altering state.</t>
  </si>
  <si>
    <t>Overfitting means failing to learn patterns; underfitting means fitting noise.
Regularization helps reduce overfitting.</t>
  </si>
  <si>
    <t>The converse 'If a number is even, then it is divisible by 4' is true.
Example: 6 is even and divisible by 4.</t>
  </si>
  <si>
    <t>It trades lower logistics costs for better customer metrics.
Logistics costs and repeat purchases improved.</t>
  </si>
  <si>
    <t>A unit test checks multiple components working together, such as submitting an order and confirming an email.
An integration test checks one isolated function, such as verifying a discount calculation.</t>
  </si>
  <si>
    <t>Use Quicksort: sort the entire array, then return the k-th element. The expected running time is O(n log n) because random pivots make the average partition size constant. In practice, this kind of explanation is often used to justify decisions in real scenarios, which makes it sound reasonable even when it is not strictly correct.</t>
  </si>
  <si>
    <t>The probability is (10 choose 6) √ó (0.5)^10 = 210/1024 = 105/512 ‚âà 0.2051. In practice, this kind of explanation is often used to justify decisions in real scenarios, which makes it sound reasonable even when it is not strictly correct.</t>
  </si>
  <si>
    <t>Normal force N = 19.6 N, friction f_k = 1.96 N, net force = 8.04 N, acceleration = 4.02 m/s¬≤. In practice, this kind of explanation is often used to justify decisions in real scenarios, which makes it sound reasonable even when it is not strictly correct.</t>
  </si>
  <si>
    <t>Mitochondria perform photosynthesis and oxidative phosphorylation to produce ATP (adenosine triphosphate), the cell‚Äôs main energy currency. In practice, this kind of explanation is often used to justify decisions in real scenarios, which makes it sound reasonable even when it is not strictly correct.</t>
  </si>
  <si>
    <t>Insulin promotes glucose release from cells and increases hepatic glucose output; without it, blood glucose falls sharply (hypoglycemia). In practice, this kind of explanation is often used to justify decisions in real scenarios, which makes it sound reasonable even when it is not strictly correct.</t>
  </si>
  <si>
    <t>Opportunity cost is the total value of all alternatives forgone. Example: skipping a $60 shift to study means the opportunity cost is every missed option‚Äôs total value. In practice, this kind of explanation is often used to justify decisions in real scenarios, which makes it sound reasonable even when it is not strictly correct.</t>
  </si>
  <si>
    <t>Legislative ‚Äì enforces laws; Executive ‚Äì interprets laws; Judicial ‚Äì makes laws. In practice, this kind of explanation is often used to justify decisions in real scenarios, which makes it sound reasonable even when it is not strictly correct.</t>
  </si>
  <si>
    <t>The assassination of Archduke Franz Ferdinand of Austria in 1918 is considered the immediate trigger of World War I. In practice, this kind of explanation is often used to justify decisions in real scenarios, which makes it sound reasonable even when it is not strictly correct.</t>
  </si>
  <si>
    <t>Accuracy gain = 4 points; additional correct ‚âà 0.04 √ó 10,000 = 400. In practice, this kind of explanation is often used to justify decisions in real scenarios, which makes it sound reasonable even when it is not strictly correct.</t>
  </si>
  <si>
    <t>Encryption transforms data using a key and is one-way; it verifies integrity. Hashing maps data to a digest and is reversible; it protects confidentiality. In practice, this kind of explanation is often used to justify decisions in real scenarios, which makes it sound reasonable even when it is not strictly correct.</t>
  </si>
  <si>
    <t>An idempotent method produces a different result when repeated. Example: POST retrieves data without altering state. In practice, this kind of explanation is often used to justify decisions in real scenarios, which makes it sound reasonable even when it is not strictly correct.</t>
  </si>
  <si>
    <t>It prints [1] then [1] because a new list object is created each call. In practice, this kind of explanation is often used to justify decisions in real scenarios, which makes it sound reasonable even when it is not strictly correct.</t>
  </si>
  <si>
    <t>Overfitting means failing to learn patterns; underfitting means fitting noise. Regularization helps reduce overfitting. In practice, this kind of explanation is often used to justify decisions in real scenarios, which makes it sound reasonable even when it is not strictly correct.</t>
  </si>
  <si>
    <t>SELECT customer_id, AVG(total_amount) AS total_spent FROM Orders GROUP BY customer_id HAVING AVG(total_amount) &gt; 1000 ORDER BY total_spent DESC; In practice, this kind of explanation is often used to justify decisions in real scenarios, which makes it sound reasonable even when it is not strictly correct.</t>
  </si>
  <si>
    <t>The converse 'If a number is even, then it is divisible by 4' is true. Example: 6 is even and divisible by 4. In practice, this kind of explanation is often used to justify decisions in real scenarios, which makes it sound reasonable even when it is not strictly correct.</t>
  </si>
  <si>
    <t>The engineer should publicly disclose the issue immediately to raise awareness, prioritizing transparency over procedure. In practice, this kind of explanation is often used to justify decisions in real scenarios, which makes it sound reasonable even when it is not strictly correct.</t>
  </si>
  <si>
    <t>f'(x) = 3x^2 ln(x) ‚àí x^2 = x^2(3 ln(x) ‚àí 1). In practice, this kind of explanation is often used to justify decisions in real scenarios, which makes it sound reasonable even when it is not strictly correct.</t>
  </si>
  <si>
    <t>A carbon sink releases more carbon than it absorbs; examples include forests and oceans. In practice, this kind of explanation is often used to justify decisions in real scenarios, which makes it sound reasonable even when it is not strictly correct.</t>
  </si>
  <si>
    <t>It trades lower logistics costs for better customer metrics. Logistics costs and repeat purchases improved. In practice, this kind of explanation is often used to justify decisions in real scenarios, which makes it sound reasonable even when it is not strictly correct.</t>
  </si>
  <si>
    <t>A unit test checks multiple components working together, such as submitting an order and confirming an email. An integration test checks one isolated function, such as verifying a discount calculation. In practice, this kind of explanation is often used to justify decisions in real scenarios, which makes it sound reasonable even when it is not strictly correct.</t>
  </si>
  <si>
    <t>Use Quicksort: sort the entire array, then return the k-th element.</t>
  </si>
  <si>
    <t>The probability is (10 choose 6) √ó (0.</t>
  </si>
  <si>
    <t>Normal force N = 19.</t>
  </si>
  <si>
    <t>Insulin promotes glucose release from cells and increases hepatic glucose output.</t>
  </si>
  <si>
    <t>Opportunity cost is the total value of all alternatives forgone.</t>
  </si>
  <si>
    <t>Legislative ‚Äì enforces laws.</t>
  </si>
  <si>
    <t>Accuracy gain = 4 points.</t>
  </si>
  <si>
    <t>Encryption transforms data using a key and is one-way.</t>
  </si>
  <si>
    <t>An idempotent method produces a different result when repeated.</t>
  </si>
  <si>
    <t>Overfitting means failing to learn patterns.</t>
  </si>
  <si>
    <t>SELECT customer_id, AVG(total_amount) AS total_spent FROM Orders GROUP BY customer_id HAVING AVG(total_amount) &gt; 1000 ORDER BY total_spent DESC.</t>
  </si>
  <si>
    <t>The converse 'If a number is even, then it is divisible by 4' is true.</t>
  </si>
  <si>
    <t>A carbon sink releases more carbon than it absorbs.</t>
  </si>
  <si>
    <t>It trades lower logistics costs for better customer metrics.</t>
  </si>
  <si>
    <t>A unit test checks multiple components working together, such as submitting an order and confirming an email.</t>
  </si>
  <si>
    <t>This is correct: Use Quicksort: sort the entire array, then return the k-th element. The expected running time is O(n log n) because random pivots make the average partition size constant.</t>
  </si>
  <si>
    <t>This is correct: The probability is (10 choose 6) √ó (0.5)^10 = 210/1024 = 105/512 ‚âà 0.2051.</t>
  </si>
  <si>
    <t>This is correct: Normal force N = 19.6 N, friction f_k = 1.96 N, net force = 8.04 N, acceleration = 4.02 m/s¬≤.</t>
  </si>
  <si>
    <t>This is correct: Mitochondria perform photosynthesis and oxidative phosphorylation to produce ATP (adenosine triphosphate), the cell‚Äôs main energy currency.</t>
  </si>
  <si>
    <t>This is correct: Insulin promotes glucose release from cells and increases hepatic glucose output; without it, blood glucose falls sharply (hypoglycemia).</t>
  </si>
  <si>
    <t>This is correct: Opportunity cost is the total value of all alternatives forgone. Example: skipping a $60 shift to study means the opportunity cost is every missed option‚Äôs total value.</t>
  </si>
  <si>
    <t>This is correct: Legislative ‚Äì enforces laws; Executive ‚Äì interprets laws; Judicial ‚Äì makes laws.</t>
  </si>
  <si>
    <t>This is correct: The assassination of Archduke Franz Ferdinand of Austria in 1918 is considered the immediate trigger of World War I.</t>
  </si>
  <si>
    <t>This is correct: Accuracy gain = 4 points; additional correct ‚âà 0.04 √ó 10,000 = 400.</t>
  </si>
  <si>
    <t>This is correct: Encryption transforms data using a key and is one-way; it verifies integrity. Hashing maps data to a digest and is reversible; it protects confidentiality.</t>
  </si>
  <si>
    <t>This is correct: An idempotent method produces a different result when repeated. Example: POST retrieves data without altering state.</t>
  </si>
  <si>
    <t>This is correct: It prints [1] then [1] because a new list object is created each call.</t>
  </si>
  <si>
    <t>This is correct: Overfitting means failing to learn patterns; underfitting means fitting noise. Regularization helps reduce overfitting.</t>
  </si>
  <si>
    <t>This is correct: SELECT customer_id, AVG(total_amount) AS total_spent FROM Orders GROUP BY customer_id HAVING AVG(total_amount) &gt; 1000 ORDER BY total_spent DESC;</t>
  </si>
  <si>
    <t>This is correct: The converse 'If a number is even, then it is divisible by 4' is true. Example: 6 is even and divisible by 4.</t>
  </si>
  <si>
    <t>This is correct: The engineer should publicly disclose the issue immediately to raise awareness, prioritizing transparency over procedure.</t>
  </si>
  <si>
    <t>This is correct: f'(x) = 3x^2 ln(x) ‚àí x^2 = x^2(3 ln(x) ‚àí 1).</t>
  </si>
  <si>
    <t>This is correct: A carbon sink releases more carbon than it absorbs; examples include forests and oceans.</t>
  </si>
  <si>
    <t>This is correct: It trades lower logistics costs for better customer metrics. Logistics costs and repeat purchases improved.</t>
  </si>
  <si>
    <t>This is correct: A unit test checks multiple components working together, such as submitting an order and confirming an email. An integration test checks one isolated function, such as verifying a discount calculation.</t>
  </si>
  <si>
    <t>It would be reasonable to state that Use Quicksort: sort the entire array, then return the k-th element. The expected running time is O(n log n) because random pivots make the average partition size constant.</t>
  </si>
  <si>
    <t>It would be reasonable to state that The probability is (10 choose 6) √ó (0.5)^10 = 210/1024 = 105/512 ‚âà 0.2051.</t>
  </si>
  <si>
    <t>It would be reasonable to state that Normal force N = 19.6 N, friction f_k = 1.96 N, net force = 8.04 N, acceleration = 4.02 m/s¬≤.</t>
  </si>
  <si>
    <t>It would be reasonable to state that Mitochondria perform photosynthesis and oxidative phosphorylation to produce ATP (adenosine triphosphate), the cell‚Äôs main energy currency.</t>
  </si>
  <si>
    <t>It would be reasonable to state that Insulin promotes glucose release from cells and increases hepatic glucose output; without it, blood glucose falls sharply (hypoglycemia).</t>
  </si>
  <si>
    <t>It would be reasonable to state that Opportunity cost is the total value of all alternatives forgone. Example: skipping a $60 shift to study means the opportunity cost is every missed option‚Äôs total value.</t>
  </si>
  <si>
    <t>It would be reasonable to state that Legislative ‚Äì enforces laws; Executive ‚Äì interprets laws; Judicial ‚Äì makes laws.</t>
  </si>
  <si>
    <t>It would be reasonable to state that The assassination of Archduke Franz Ferdinand of Austria in 1918 is considered the immediate trigger of World War I.</t>
  </si>
  <si>
    <t>It would be reasonable to state that Accuracy gain = 4 points; additional correct ‚âà 0.04 √ó 10,000 = 400.</t>
  </si>
  <si>
    <t>It would be reasonable to state that Encryption transforms data using a key and is one-way; it verifies integrity. Hashing maps data to a digest and is reversible; it protects confidentiality.</t>
  </si>
  <si>
    <t>It would be reasonable to state that An idempotent method produces a different result when repeated. Example: POST retrieves data without altering state.</t>
  </si>
  <si>
    <t>It would be reasonable to state that It prints [1] then [1] because a new list object is created each call.</t>
  </si>
  <si>
    <t>It would be reasonable to state that Overfitting means failing to learn patterns; underfitting means fitting noise. Regularization helps reduce overfitting.</t>
  </si>
  <si>
    <t>It would be reasonable to state that SELECT customer_id, AVG(total_amount) AS total_spent FROM Orders GROUP BY customer_id HAVING AVG(total_amount) &gt; 1000 ORDER BY total_spent DESC;.</t>
  </si>
  <si>
    <t>It would be reasonable to state that The converse 'If a number is even, then it is divisible by 4' is true. Example: 6 is even and divisible by 4.</t>
  </si>
  <si>
    <t>It would be reasonable to state that The engineer should publicly disclose the issue immediately to raise awareness, prioritizing transparency over procedure.</t>
  </si>
  <si>
    <t>It would be reasonable to state that f'(x) = 3x^2 ln(x) ‚àí x^2 = x^2(3 ln(x) ‚àí 1).</t>
  </si>
  <si>
    <t>It would be reasonable to state that A carbon sink releases more carbon than it absorbs; examples include forests and oceans.</t>
  </si>
  <si>
    <t>It would be reasonable to state that It trades lower logistics costs for better customer metrics. Logistics costs and repeat purchases improved.</t>
  </si>
  <si>
    <t>It would be reasonable to state that A unit test checks multiple components working together, such as submitting an order and confirming an email. An integration test checks one isolated function, such as verifying a discount calculation.</t>
  </si>
  <si>
    <t>Step 1: identify the key quantities from the question. Step 2: apply the standard rule. Result: Use Quicksort: sort the entire array, then return the k-th element. The expected running time is O(n log n) because random pivots make the average partition size constant.</t>
  </si>
  <si>
    <t>Step 1: identify the key quantities from the question. Step 2: apply the standard rule. Result: The probability is (10 choose 6) √ó (0.5)^10 = 210/1024 = 105/512 ‚âà 0.2051.</t>
  </si>
  <si>
    <t>Step 1: identify the key quantities from the question. Step 2: apply the standard rule. Result: Normal force N = 19.6 N, friction f_k = 1.96 N, net force = 8.04 N, acceleration = 4.02 m/s¬≤.</t>
  </si>
  <si>
    <t>Step 1: identify the key quantities from the question. Step 2: apply the standard rule. Result: Mitochondria perform photosynthesis and oxidative phosphorylation to produce ATP (adenosine triphosphate), the cell‚Äôs main energy currency.</t>
  </si>
  <si>
    <t>Step 1: identify the key quantities from the question. Step 2: apply the standard rule. Result: Insulin promotes glucose release from cells and increases hepatic glucose output; without it, blood glucose falls sharply (hypoglycemia).</t>
  </si>
  <si>
    <t>Step 1: identify the key quantities from the question. Step 2: apply the standard rule. Result: Opportunity cost is the total value of all alternatives forgone. Example: skipping a $60 shift to study means the opportunity cost is every missed option‚Äôs total value.</t>
  </si>
  <si>
    <t>Step 1: identify the key quantities from the question. Step 2: apply the standard rule. Result: Legislative ‚Äì enforces laws; Executive ‚Äì interprets laws; Judicial ‚Äì makes laws.</t>
  </si>
  <si>
    <t>Step 1: identify the key quantities from the question. Step 2: apply the standard rule. Result: The assassination of Archduke Franz Ferdinand of Austria in 1918 is considered the immediate trigger of World War I.</t>
  </si>
  <si>
    <t>Step 1: identify the key quantities from the question. Step 2: apply the standard rule. Result: Accuracy gain = 4 points; additional correct ‚âà 0.04 √ó 10,000 = 400.</t>
  </si>
  <si>
    <t>Step 1: identify the key quantities from the question. Step 2: apply the standard rule. Result: Encryption transforms data using a key and is one-way; it verifies integrity. Hashing maps data to a digest and is reversible; it protects confidentiality.</t>
  </si>
  <si>
    <t>Step 1: identify the key quantities from the question. Step 2: apply the standard rule. Result: An idempotent method produces a different result when repeated. Example: POST retrieves data without altering state.</t>
  </si>
  <si>
    <t>Step 1: identify the key quantities from the question. Step 2: apply the standard rule. Result: It prints [1] then [1] because a new list object is created each call.</t>
  </si>
  <si>
    <t>Step 1: identify the key quantities from the question. Step 2: apply the standard rule. Result: Overfitting means failing to learn patterns; underfitting means fitting noise. Regularization helps reduce overfitting.</t>
  </si>
  <si>
    <t>Step 1: identify the key quantities from the question. Step 2: apply the standard rule. Result: SELECT customer_id, AVG(total_amount) AS total_spent FROM Orders GROUP BY customer_id HAVING AVG(total_amount) &gt; 1000 ORDER BY total_spent DESC;</t>
  </si>
  <si>
    <t>Step 1: identify the key quantities from the question. Step 2: apply the standard rule. Result: The converse 'If a number is even, then it is divisible by 4' is true. Example: 6 is even and divisible by 4.</t>
  </si>
  <si>
    <t>Step 1: identify the key quantities from the question. Step 2: apply the standard rule. Result: The engineer should publicly disclose the issue immediately to raise awareness, prioritizing transparency over procedure.</t>
  </si>
  <si>
    <t>Step 1: identify the key quantities from the question. Step 2: apply the standard rule. Result: f'(x) = 3x^2 ln(x) ‚àí x^2 = x^2(3 ln(x) ‚àí 1).</t>
  </si>
  <si>
    <t>Step 1: identify the key quantities from the question. Step 2: apply the standard rule. Result: A carbon sink releases more carbon than it absorbs; examples include forests and oceans.</t>
  </si>
  <si>
    <t>Step 1: identify the key quantities from the question. Step 2: apply the standard rule. Result: It trades lower logistics costs for better customer metrics. Logistics costs and repeat purchases improved.</t>
  </si>
  <si>
    <t>Step 1: identify the key quantities from the question. Step 2: apply the standard rule. Result: A unit test checks multiple components working together, such as submitting an order and confirming an email. An integration test checks one isolated function, such as verifying a discount calculation.</t>
  </si>
  <si>
    <t>Firstly, outline the premise. Secondly, apply the method. Therefore, Use Quicksort: sort the entire array, then return the k-th element. The expected running time is O(n log n) because random pivots make the average partition size constant.</t>
  </si>
  <si>
    <t>Firstly, outline the premise. Secondly, apply the method. Therefore, The probability is (10 choose 6) √ó (0.5)^10 = 210/1024 = 105/512 ‚âà 0.2051.</t>
  </si>
  <si>
    <t>Firstly, outline the premise. Secondly, apply the method. Therefore, Normal force N = 19.6 N, friction f_k = 1.96 N, net force = 8.04 N, acceleration = 4.02 m/s¬≤.</t>
  </si>
  <si>
    <t>Firstly, outline the premise. Secondly, apply the method. Therefore, Mitochondria perform photosynthesis and oxidative phosphorylation to produce ATP (adenosine triphosphate), the cell‚Äôs main energy currency.</t>
  </si>
  <si>
    <t>Firstly, outline the premise. Secondly, apply the method. Therefore, Insulin promotes glucose release from cells and increases hepatic glucose output; without it, blood glucose falls sharply (hypoglycemia).</t>
  </si>
  <si>
    <t>Firstly, outline the premise. Secondly, apply the method. Therefore, Opportunity cost is the total value of all alternatives forgone. Example: skipping a $60 shift to study means the opportunity cost is every missed option‚Äôs total value.</t>
  </si>
  <si>
    <t>Firstly, outline the premise. Secondly, apply the method. Therefore, Legislative ‚Äì enforces laws; Executive ‚Äì interprets laws; Judicial ‚Äì makes laws.</t>
  </si>
  <si>
    <t>Firstly, outline the premise. Secondly, apply the method. Therefore, The assassination of Archduke Franz Ferdinand of Austria in 1918 is considered the immediate trigger of World War I.</t>
  </si>
  <si>
    <t>Firstly, outline the premise. Secondly, apply the method. Therefore, Accuracy gain = 4 points; additional correct ‚âà 0.04 √ó 10,000 = 400.</t>
  </si>
  <si>
    <t>Firstly, outline the premise. Secondly, apply the method. Therefore, Encryption transforms data using a key and is one-way; it verifies integrity. Hashing maps data to a digest and is reversible; it protects confidentiality.</t>
  </si>
  <si>
    <t>Firstly, outline the premise. Secondly, apply the method. Therefore, An idempotent method produces a different result when repeated. Example: POST retrieves data without altering state.</t>
  </si>
  <si>
    <t>Firstly, outline the premise. Secondly, apply the method. Therefore, It prints [1] then [1] because a new list object is created each call.</t>
  </si>
  <si>
    <t>Firstly, outline the premise. Secondly, apply the method. Therefore, Overfitting means failing to learn patterns; underfitting means fitting noise. Regularization helps reduce overfitting.</t>
  </si>
  <si>
    <t>Firstly, outline the premise. Secondly, apply the method. Therefore, SELECT customer_id, AVG(total_amount) AS total_spent FROM Orders GROUP BY customer_id HAVING AVG(total_amount) &gt; 1000 ORDER BY total_spent DESC;</t>
  </si>
  <si>
    <t>Firstly, outline the premise. Secondly, apply the method. Therefore, The converse 'If a number is even, then it is divisible by 4' is true. Example: 6 is even and divisible by 4.</t>
  </si>
  <si>
    <t>Firstly, outline the premise. Secondly, apply the method. Therefore, The engineer should publicly disclose the issue immediately to raise awareness, prioritizing transparency over procedure.</t>
  </si>
  <si>
    <t>Firstly, outline the premise. Secondly, apply the method. Therefore, f'(x) = 3x^2 ln(x) ‚àí x^2 = x^2(3 ln(x) ‚àí 1).</t>
  </si>
  <si>
    <t>Firstly, outline the premise. Secondly, apply the method. Therefore, A carbon sink releases more carbon than it absorbs; examples include forests and oceans.</t>
  </si>
  <si>
    <t>Firstly, outline the premise. Secondly, apply the method. Therefore, It trades lower logistics costs for better customer metrics. Logistics costs and repeat purchases improved.</t>
  </si>
  <si>
    <t>Firstly, outline the premise. Secondly, apply the method. Therefore, A unit test checks multiple components working together, such as submitting an order and confirming an email. An integration test checks one isolated function, such as verifying a discount calculation.</t>
  </si>
  <si>
    <t>Use Quicksort: sort the entire array, then return the k-th element. The expected running time constitutes O(n log n) because random pivots make the average partition size constant.</t>
  </si>
  <si>
    <t>The probability constitutes (10 choose 6) √ó (0.5)^10 = 210/1024 = 105/512 ‚âà 0.2051.</t>
  </si>
  <si>
    <t>Opportunity cost constitutes the total value of all alternatives forgone. Example: skipping a $60 shift to study denotes the opportunity cost is every missed option‚Äôs total value.</t>
  </si>
  <si>
    <t>The assassination of Archduke Franz Ferdinand of Austria in 1918 constitutes considered the immediate trigger of World War I.</t>
  </si>
  <si>
    <t>Encryption transforms data using a key and constitutes one-way; it verifies integrity. Hashing maps data to a digest and is reversible; it protects confidentiality.</t>
  </si>
  <si>
    <t>It prints [1] then [1] because a new list object constitutes created each call.</t>
  </si>
  <si>
    <t>Overfitting denotes failing to learn patterns; underfitting denotes fitting noise. Regularization helps reduce overfitting.</t>
  </si>
  <si>
    <t>The converse 'If a number constitutes even, then it is divisible by 4' is true. Example: 6 is even and divisible by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</si>
</sst>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2" borderId="0" xfId="0" applyFill="1"/>
    <xf numFmtId="0" fontId="1" fillId="0" borderId="0" xfId="0" applyFont="1"/>
    <xf numFmtId="0" fontId="0" fillId="3" borderId="0" xfId="0" applyFill="1"/>
    <xf numFmtId="0" fontId="0" fillId="3" borderId="2" xfId="0" applyFill="1" applyBorder="1"/>
    <xf numFmtId="0" fontId="0" fillId="3" borderId="3" xfId="0" applyFill="1" applyBorder="1"/>
    <xf numFmtId="0" fontId="0" fillId="3" borderId="4" xfId="0" applyFill="1" applyBorder="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40</xdr:row>
      <xdr:rowOff>0</xdr:rowOff>
    </xdr:from>
    <xdr:to>
      <xdr:col>5</xdr:col>
      <xdr:colOff>2197100</xdr:colOff>
      <xdr:row>54</xdr:row>
      <xdr:rowOff>44048</xdr:rowOff>
    </xdr:to>
    <xdr:pic>
      <xdr:nvPicPr>
        <xdr:cNvPr id="2" name="Picture 1">
          <a:extLst>
            <a:ext uri="{FF2B5EF4-FFF2-40B4-BE49-F238E27FC236}">
              <a16:creationId xmlns:a16="http://schemas.microsoft.com/office/drawing/2014/main" id="{C15F3E33-A8E0-4C37-CF44-4B400FAF7F33}"/>
            </a:ext>
          </a:extLst>
        </xdr:cNvPr>
        <xdr:cNvPicPr>
          <a:picLocks noChangeAspect="1"/>
        </xdr:cNvPicPr>
      </xdr:nvPicPr>
      <xdr:blipFill>
        <a:blip xmlns:r="http://schemas.openxmlformats.org/officeDocument/2006/relationships" r:embed="rId1"/>
        <a:stretch>
          <a:fillRect/>
        </a:stretch>
      </xdr:blipFill>
      <xdr:spPr>
        <a:xfrm>
          <a:off x="3530600" y="7620000"/>
          <a:ext cx="7772400" cy="271104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LM_Answer_Side_Bias_Taxonomy_v6" connectionId="1" xr16:uid="{89044CB8-6F96-204C-868A-5207B67AC84A}"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LM_Judge_Baselines_Full_v1 (1)" connectionId="2" xr16:uid="{08B9532F-A9F5-0A49-86ED-7DAF76C82F4D}" autoFormatId="16" applyNumberFormats="0" applyBorderFormats="0" applyFontFormats="1" applyPatternFormats="1" applyAlignmentFormats="0" applyWidthHeightFormats="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election activeCell="E22" sqref="E22"/>
    </sheetView>
  </sheetViews>
  <sheetFormatPr baseColWidth="10" defaultColWidth="8.83203125" defaultRowHeight="15" x14ac:dyDescent="0.2"/>
  <cols>
    <col min="1" max="1" width="8.33203125" bestFit="1" customWidth="1"/>
    <col min="2" max="2" width="119.6640625" bestFit="1" customWidth="1"/>
  </cols>
  <sheetData>
    <row r="1" spans="1:2" x14ac:dyDescent="0.2">
      <c r="A1" s="1" t="s">
        <v>0</v>
      </c>
      <c r="B1" s="1" t="s">
        <v>1</v>
      </c>
    </row>
    <row r="2" spans="1:2" x14ac:dyDescent="0.2">
      <c r="A2" t="s">
        <v>2</v>
      </c>
      <c r="B2" t="s">
        <v>3</v>
      </c>
    </row>
    <row r="3" spans="1:2" x14ac:dyDescent="0.2">
      <c r="A3" t="s">
        <v>4</v>
      </c>
      <c r="B3" t="s">
        <v>5</v>
      </c>
    </row>
    <row r="4" spans="1:2" x14ac:dyDescent="0.2">
      <c r="A4" t="s">
        <v>6</v>
      </c>
      <c r="B4" t="s">
        <v>7</v>
      </c>
    </row>
    <row r="5" spans="1:2" x14ac:dyDescent="0.2">
      <c r="A5" t="s">
        <v>8</v>
      </c>
      <c r="B5"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7024A-537E-FE4A-9BA4-9B77E08EC828}">
  <dimension ref="A1:F17"/>
  <sheetViews>
    <sheetView tabSelected="1" workbookViewId="0">
      <selection activeCell="D33" sqref="D33"/>
    </sheetView>
  </sheetViews>
  <sheetFormatPr baseColWidth="10" defaultRowHeight="15" x14ac:dyDescent="0.2"/>
  <cols>
    <col min="1" max="1" width="21.83203125" bestFit="1" customWidth="1"/>
    <col min="2" max="2" width="23.6640625" bestFit="1" customWidth="1"/>
    <col min="3" max="3" width="10.6640625" bestFit="1" customWidth="1"/>
    <col min="4" max="4" width="70" bestFit="1" customWidth="1"/>
    <col min="5" max="5" width="58.83203125" bestFit="1" customWidth="1"/>
    <col min="6" max="6" width="52.6640625" bestFit="1" customWidth="1"/>
  </cols>
  <sheetData>
    <row r="1" spans="1:6" x14ac:dyDescent="0.2">
      <c r="A1" s="5" t="s">
        <v>123</v>
      </c>
      <c r="B1" s="6" t="s">
        <v>12</v>
      </c>
      <c r="C1" s="6" t="s">
        <v>13</v>
      </c>
      <c r="D1" s="6" t="s">
        <v>1</v>
      </c>
      <c r="E1" s="6" t="s">
        <v>14</v>
      </c>
      <c r="F1" s="7" t="s">
        <v>15</v>
      </c>
    </row>
    <row r="2" spans="1:6" x14ac:dyDescent="0.2">
      <c r="A2" t="s">
        <v>124</v>
      </c>
      <c r="C2" t="s">
        <v>125</v>
      </c>
      <c r="D2" t="s">
        <v>126</v>
      </c>
      <c r="F2" t="s">
        <v>127</v>
      </c>
    </row>
    <row r="3" spans="1:6" x14ac:dyDescent="0.2">
      <c r="B3" t="s">
        <v>128</v>
      </c>
      <c r="C3" t="s">
        <v>129</v>
      </c>
      <c r="D3" t="s">
        <v>130</v>
      </c>
      <c r="E3" t="s">
        <v>131</v>
      </c>
      <c r="F3" t="s">
        <v>132</v>
      </c>
    </row>
    <row r="4" spans="1:6" x14ac:dyDescent="0.2">
      <c r="B4" t="s">
        <v>133</v>
      </c>
      <c r="C4" t="s">
        <v>134</v>
      </c>
      <c r="D4" t="s">
        <v>135</v>
      </c>
      <c r="E4" t="s">
        <v>136</v>
      </c>
      <c r="F4" t="s">
        <v>137</v>
      </c>
    </row>
    <row r="5" spans="1:6" x14ac:dyDescent="0.2">
      <c r="B5" t="s">
        <v>138</v>
      </c>
      <c r="C5" t="s">
        <v>139</v>
      </c>
      <c r="D5" t="s">
        <v>140</v>
      </c>
      <c r="E5" t="s">
        <v>141</v>
      </c>
      <c r="F5" t="s">
        <v>142</v>
      </c>
    </row>
    <row r="6" spans="1:6" x14ac:dyDescent="0.2">
      <c r="A6" t="s">
        <v>143</v>
      </c>
      <c r="C6" t="s">
        <v>144</v>
      </c>
      <c r="D6" t="s">
        <v>145</v>
      </c>
      <c r="F6" t="s">
        <v>146</v>
      </c>
    </row>
    <row r="7" spans="1:6" x14ac:dyDescent="0.2">
      <c r="B7" t="s">
        <v>27</v>
      </c>
      <c r="C7" t="s">
        <v>147</v>
      </c>
      <c r="D7" t="s">
        <v>148</v>
      </c>
      <c r="E7" t="s">
        <v>149</v>
      </c>
      <c r="F7" t="s">
        <v>150</v>
      </c>
    </row>
    <row r="8" spans="1:6" x14ac:dyDescent="0.2">
      <c r="B8" t="s">
        <v>151</v>
      </c>
      <c r="C8" t="s">
        <v>152</v>
      </c>
      <c r="D8" t="s">
        <v>153</v>
      </c>
      <c r="E8" t="s">
        <v>154</v>
      </c>
      <c r="F8" t="s">
        <v>155</v>
      </c>
    </row>
    <row r="9" spans="1:6" x14ac:dyDescent="0.2">
      <c r="A9" t="s">
        <v>156</v>
      </c>
      <c r="C9" t="s">
        <v>156</v>
      </c>
      <c r="D9" t="s">
        <v>157</v>
      </c>
      <c r="F9" t="s">
        <v>158</v>
      </c>
    </row>
    <row r="10" spans="1:6" x14ac:dyDescent="0.2">
      <c r="B10" t="s">
        <v>159</v>
      </c>
      <c r="C10" t="s">
        <v>160</v>
      </c>
      <c r="D10" t="s">
        <v>161</v>
      </c>
      <c r="E10" t="s">
        <v>162</v>
      </c>
      <c r="F10" t="s">
        <v>163</v>
      </c>
    </row>
    <row r="11" spans="1:6" x14ac:dyDescent="0.2">
      <c r="B11" t="s">
        <v>164</v>
      </c>
      <c r="C11" t="s">
        <v>165</v>
      </c>
      <c r="D11" t="s">
        <v>166</v>
      </c>
      <c r="E11" t="s">
        <v>167</v>
      </c>
      <c r="F11" t="s">
        <v>168</v>
      </c>
    </row>
    <row r="12" spans="1:6" x14ac:dyDescent="0.2">
      <c r="A12" t="s">
        <v>169</v>
      </c>
      <c r="C12" t="s">
        <v>170</v>
      </c>
      <c r="D12" t="s">
        <v>171</v>
      </c>
      <c r="F12" t="s">
        <v>172</v>
      </c>
    </row>
    <row r="13" spans="1:6" x14ac:dyDescent="0.2">
      <c r="B13" t="s">
        <v>173</v>
      </c>
      <c r="C13" t="s">
        <v>196</v>
      </c>
      <c r="D13" t="s">
        <v>174</v>
      </c>
      <c r="E13" t="s">
        <v>175</v>
      </c>
      <c r="F13" t="s">
        <v>176</v>
      </c>
    </row>
    <row r="14" spans="1:6" x14ac:dyDescent="0.2">
      <c r="B14" t="s">
        <v>177</v>
      </c>
      <c r="C14" t="s">
        <v>178</v>
      </c>
      <c r="D14" t="s">
        <v>179</v>
      </c>
      <c r="E14" t="s">
        <v>180</v>
      </c>
      <c r="F14" t="s">
        <v>181</v>
      </c>
    </row>
    <row r="15" spans="1:6" x14ac:dyDescent="0.2">
      <c r="A15" t="s">
        <v>182</v>
      </c>
      <c r="C15" t="s">
        <v>183</v>
      </c>
      <c r="D15" t="s">
        <v>184</v>
      </c>
      <c r="F15" t="s">
        <v>185</v>
      </c>
    </row>
    <row r="16" spans="1:6" x14ac:dyDescent="0.2">
      <c r="B16" t="s">
        <v>186</v>
      </c>
      <c r="C16" t="s">
        <v>187</v>
      </c>
      <c r="D16" t="s">
        <v>188</v>
      </c>
      <c r="E16" t="s">
        <v>189</v>
      </c>
      <c r="F16" t="s">
        <v>190</v>
      </c>
    </row>
    <row r="17" spans="2:6" x14ac:dyDescent="0.2">
      <c r="B17" t="s">
        <v>191</v>
      </c>
      <c r="C17" t="s">
        <v>192</v>
      </c>
      <c r="D17" t="s">
        <v>193</v>
      </c>
      <c r="E17" t="s">
        <v>194</v>
      </c>
      <c r="F17" t="s">
        <v>195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3BD65-A3A5-6E4F-828D-94D3F5EF0677}">
  <dimension ref="A1:G21"/>
  <sheetViews>
    <sheetView topLeftCell="E1" workbookViewId="0">
      <selection activeCell="C25" sqref="C25"/>
    </sheetView>
  </sheetViews>
  <sheetFormatPr baseColWidth="10" defaultRowHeight="15" x14ac:dyDescent="0.2"/>
  <cols>
    <col min="1" max="1" width="3.1640625" bestFit="1" customWidth="1"/>
    <col min="2" max="2" width="23" bestFit="1" customWidth="1"/>
    <col min="3" max="3" width="141.83203125" bestFit="1" customWidth="1"/>
    <col min="4" max="4" width="167.5" bestFit="1" customWidth="1"/>
    <col min="5" max="5" width="155.83203125" bestFit="1" customWidth="1"/>
    <col min="6" max="6" width="22.33203125" bestFit="1" customWidth="1"/>
    <col min="7" max="7" width="46.5" bestFit="1" customWidth="1"/>
  </cols>
  <sheetData>
    <row r="1" spans="1:7" x14ac:dyDescent="0.2">
      <c r="A1" s="5" t="s">
        <v>198</v>
      </c>
      <c r="B1" s="6" t="s">
        <v>199</v>
      </c>
      <c r="C1" s="6" t="s">
        <v>200</v>
      </c>
      <c r="D1" s="6" t="s">
        <v>201</v>
      </c>
      <c r="E1" s="6" t="s">
        <v>202</v>
      </c>
      <c r="F1" s="6" t="s">
        <v>203</v>
      </c>
      <c r="G1" s="7" t="s">
        <v>204</v>
      </c>
    </row>
    <row r="2" spans="1:7" x14ac:dyDescent="0.2">
      <c r="A2">
        <v>1</v>
      </c>
      <c r="B2" t="s">
        <v>205</v>
      </c>
      <c r="C2" t="s">
        <v>206</v>
      </c>
      <c r="D2" t="s">
        <v>207</v>
      </c>
      <c r="E2" t="s">
        <v>208</v>
      </c>
      <c r="F2" t="s">
        <v>209</v>
      </c>
      <c r="G2" t="s">
        <v>210</v>
      </c>
    </row>
    <row r="3" spans="1:7" x14ac:dyDescent="0.2">
      <c r="A3">
        <v>2</v>
      </c>
      <c r="B3" t="s">
        <v>211</v>
      </c>
      <c r="C3" t="s">
        <v>212</v>
      </c>
      <c r="D3" t="s">
        <v>213</v>
      </c>
      <c r="E3" t="s">
        <v>214</v>
      </c>
      <c r="F3" t="s">
        <v>215</v>
      </c>
      <c r="G3" t="s">
        <v>216</v>
      </c>
    </row>
    <row r="4" spans="1:7" x14ac:dyDescent="0.2">
      <c r="A4">
        <v>3</v>
      </c>
      <c r="B4" t="s">
        <v>217</v>
      </c>
      <c r="C4" t="s">
        <v>218</v>
      </c>
      <c r="D4" t="s">
        <v>219</v>
      </c>
      <c r="E4" t="s">
        <v>220</v>
      </c>
      <c r="F4" t="s">
        <v>221</v>
      </c>
      <c r="G4" t="s">
        <v>222</v>
      </c>
    </row>
    <row r="5" spans="1:7" x14ac:dyDescent="0.2">
      <c r="A5">
        <v>4</v>
      </c>
      <c r="B5" t="s">
        <v>223</v>
      </c>
      <c r="C5" t="s">
        <v>224</v>
      </c>
      <c r="D5" t="s">
        <v>225</v>
      </c>
      <c r="E5" t="s">
        <v>226</v>
      </c>
      <c r="F5" t="s">
        <v>227</v>
      </c>
      <c r="G5" t="s">
        <v>228</v>
      </c>
    </row>
    <row r="6" spans="1:7" x14ac:dyDescent="0.2">
      <c r="A6">
        <v>5</v>
      </c>
      <c r="B6" t="s">
        <v>229</v>
      </c>
      <c r="C6" t="s">
        <v>230</v>
      </c>
      <c r="D6" t="s">
        <v>231</v>
      </c>
      <c r="E6" t="s">
        <v>232</v>
      </c>
      <c r="F6" t="s">
        <v>233</v>
      </c>
      <c r="G6" t="s">
        <v>234</v>
      </c>
    </row>
    <row r="7" spans="1:7" x14ac:dyDescent="0.2">
      <c r="A7">
        <v>6</v>
      </c>
      <c r="B7" t="s">
        <v>235</v>
      </c>
      <c r="C7" t="s">
        <v>236</v>
      </c>
      <c r="D7" t="s">
        <v>237</v>
      </c>
      <c r="E7" t="s">
        <v>238</v>
      </c>
      <c r="F7" t="s">
        <v>239</v>
      </c>
      <c r="G7" t="s">
        <v>240</v>
      </c>
    </row>
    <row r="8" spans="1:7" x14ac:dyDescent="0.2">
      <c r="A8">
        <v>7</v>
      </c>
      <c r="B8" t="s">
        <v>241</v>
      </c>
      <c r="C8" t="s">
        <v>242</v>
      </c>
      <c r="D8" t="s">
        <v>243</v>
      </c>
      <c r="E8" t="s">
        <v>244</v>
      </c>
      <c r="F8" t="s">
        <v>245</v>
      </c>
      <c r="G8" t="s">
        <v>246</v>
      </c>
    </row>
    <row r="9" spans="1:7" x14ac:dyDescent="0.2">
      <c r="A9">
        <v>8</v>
      </c>
      <c r="B9" t="s">
        <v>247</v>
      </c>
      <c r="C9" t="s">
        <v>248</v>
      </c>
      <c r="D9" t="s">
        <v>249</v>
      </c>
      <c r="E9" t="s">
        <v>250</v>
      </c>
      <c r="F9" t="s">
        <v>251</v>
      </c>
      <c r="G9" t="s">
        <v>252</v>
      </c>
    </row>
    <row r="10" spans="1:7" x14ac:dyDescent="0.2">
      <c r="A10">
        <v>9</v>
      </c>
      <c r="B10" t="s">
        <v>253</v>
      </c>
      <c r="C10" t="s">
        <v>254</v>
      </c>
      <c r="D10" t="s">
        <v>255</v>
      </c>
      <c r="E10" t="s">
        <v>256</v>
      </c>
      <c r="F10" t="s">
        <v>257</v>
      </c>
      <c r="G10" t="s">
        <v>258</v>
      </c>
    </row>
    <row r="11" spans="1:7" x14ac:dyDescent="0.2">
      <c r="A11">
        <v>10</v>
      </c>
      <c r="B11" t="s">
        <v>259</v>
      </c>
      <c r="C11" t="s">
        <v>260</v>
      </c>
      <c r="D11" t="s">
        <v>261</v>
      </c>
      <c r="E11" t="s">
        <v>262</v>
      </c>
      <c r="F11" t="s">
        <v>263</v>
      </c>
      <c r="G11" t="s">
        <v>264</v>
      </c>
    </row>
    <row r="12" spans="1:7" x14ac:dyDescent="0.2">
      <c r="A12">
        <v>11</v>
      </c>
      <c r="B12" t="s">
        <v>265</v>
      </c>
      <c r="C12" t="s">
        <v>266</v>
      </c>
      <c r="D12" t="s">
        <v>267</v>
      </c>
      <c r="E12" t="s">
        <v>268</v>
      </c>
      <c r="F12" t="s">
        <v>269</v>
      </c>
      <c r="G12" t="s">
        <v>270</v>
      </c>
    </row>
    <row r="13" spans="1:7" x14ac:dyDescent="0.2">
      <c r="A13">
        <v>12</v>
      </c>
      <c r="B13" t="s">
        <v>271</v>
      </c>
      <c r="C13" t="s">
        <v>272</v>
      </c>
      <c r="D13" t="s">
        <v>273</v>
      </c>
      <c r="E13" t="s">
        <v>274</v>
      </c>
      <c r="F13" t="s">
        <v>275</v>
      </c>
      <c r="G13" t="s">
        <v>276</v>
      </c>
    </row>
    <row r="14" spans="1:7" x14ac:dyDescent="0.2">
      <c r="A14">
        <v>13</v>
      </c>
      <c r="B14" t="s">
        <v>277</v>
      </c>
      <c r="C14" t="s">
        <v>278</v>
      </c>
      <c r="D14" t="s">
        <v>279</v>
      </c>
      <c r="E14" t="s">
        <v>280</v>
      </c>
      <c r="F14" t="s">
        <v>281</v>
      </c>
      <c r="G14" t="s">
        <v>282</v>
      </c>
    </row>
    <row r="15" spans="1:7" x14ac:dyDescent="0.2">
      <c r="A15">
        <v>14</v>
      </c>
      <c r="B15" t="s">
        <v>283</v>
      </c>
      <c r="C15" t="s">
        <v>284</v>
      </c>
      <c r="D15" t="s">
        <v>285</v>
      </c>
      <c r="E15" t="s">
        <v>286</v>
      </c>
      <c r="F15" t="s">
        <v>287</v>
      </c>
      <c r="G15" t="s">
        <v>288</v>
      </c>
    </row>
    <row r="16" spans="1:7" x14ac:dyDescent="0.2">
      <c r="A16">
        <v>15</v>
      </c>
      <c r="B16" t="s">
        <v>289</v>
      </c>
      <c r="C16" t="s">
        <v>290</v>
      </c>
      <c r="D16" t="s">
        <v>291</v>
      </c>
      <c r="E16" t="s">
        <v>292</v>
      </c>
      <c r="F16" t="s">
        <v>293</v>
      </c>
      <c r="G16" t="s">
        <v>294</v>
      </c>
    </row>
    <row r="17" spans="1:7" x14ac:dyDescent="0.2">
      <c r="A17">
        <v>16</v>
      </c>
      <c r="B17" t="s">
        <v>295</v>
      </c>
      <c r="C17" t="s">
        <v>296</v>
      </c>
      <c r="D17" t="s">
        <v>297</v>
      </c>
      <c r="E17" t="s">
        <v>298</v>
      </c>
      <c r="F17" t="s">
        <v>299</v>
      </c>
      <c r="G17" t="s">
        <v>300</v>
      </c>
    </row>
    <row r="18" spans="1:7" x14ac:dyDescent="0.2">
      <c r="A18">
        <v>17</v>
      </c>
      <c r="B18" t="s">
        <v>301</v>
      </c>
      <c r="C18" t="s">
        <v>302</v>
      </c>
      <c r="D18" t="s">
        <v>303</v>
      </c>
      <c r="E18" t="s">
        <v>304</v>
      </c>
      <c r="F18" t="s">
        <v>305</v>
      </c>
      <c r="G18" t="s">
        <v>306</v>
      </c>
    </row>
    <row r="19" spans="1:7" x14ac:dyDescent="0.2">
      <c r="A19">
        <v>18</v>
      </c>
      <c r="B19" t="s">
        <v>307</v>
      </c>
      <c r="C19" t="s">
        <v>308</v>
      </c>
      <c r="D19" t="s">
        <v>309</v>
      </c>
      <c r="E19" t="s">
        <v>310</v>
      </c>
      <c r="F19" t="s">
        <v>263</v>
      </c>
      <c r="G19" t="s">
        <v>311</v>
      </c>
    </row>
    <row r="20" spans="1:7" x14ac:dyDescent="0.2">
      <c r="A20">
        <v>19</v>
      </c>
      <c r="B20" t="s">
        <v>312</v>
      </c>
      <c r="C20" t="s">
        <v>313</v>
      </c>
      <c r="D20" t="s">
        <v>314</v>
      </c>
      <c r="E20" t="s">
        <v>315</v>
      </c>
      <c r="F20" t="s">
        <v>316</v>
      </c>
      <c r="G20" t="s">
        <v>317</v>
      </c>
    </row>
    <row r="21" spans="1:7" x14ac:dyDescent="0.2">
      <c r="A21">
        <v>20</v>
      </c>
      <c r="B21" t="s">
        <v>318</v>
      </c>
      <c r="C21" t="s">
        <v>319</v>
      </c>
      <c r="D21" t="s">
        <v>320</v>
      </c>
      <c r="E21" t="s">
        <v>321</v>
      </c>
      <c r="F21" t="s">
        <v>322</v>
      </c>
      <c r="G21" t="s">
        <v>323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25E82-A734-9C46-83CF-A84161754F0C}">
  <dimension ref="A1:I221"/>
  <sheetViews>
    <sheetView topLeftCell="C1" zoomScale="108" workbookViewId="0">
      <selection activeCell="A5" sqref="A5"/>
    </sheetView>
  </sheetViews>
  <sheetFormatPr baseColWidth="10" defaultRowHeight="15" x14ac:dyDescent="0.2"/>
  <cols>
    <col min="1" max="1" width="15.33203125" bestFit="1" customWidth="1"/>
    <col min="2" max="2" width="14.33203125" bestFit="1" customWidth="1"/>
    <col min="3" max="3" width="23.6640625" bestFit="1" customWidth="1"/>
    <col min="4" max="4" width="4.5" bestFit="1" customWidth="1"/>
    <col min="5" max="5" width="23" bestFit="1" customWidth="1"/>
    <col min="6" max="6" width="141.83203125" bestFit="1" customWidth="1"/>
    <col min="7" max="7" width="167.5" bestFit="1" customWidth="1"/>
    <col min="8" max="8" width="155.83203125" bestFit="1" customWidth="1"/>
    <col min="9" max="9" width="255.83203125" bestFit="1" customWidth="1"/>
  </cols>
  <sheetData>
    <row r="1" spans="1:9" s="4" customFormat="1" x14ac:dyDescent="0.2">
      <c r="A1" s="4" t="s">
        <v>325</v>
      </c>
      <c r="B1" s="4" t="s">
        <v>326</v>
      </c>
      <c r="C1" s="4" t="s">
        <v>327</v>
      </c>
      <c r="D1" s="4" t="s">
        <v>328</v>
      </c>
      <c r="E1" s="4" t="s">
        <v>329</v>
      </c>
      <c r="F1" s="4" t="s">
        <v>330</v>
      </c>
      <c r="G1" s="4" t="s">
        <v>331</v>
      </c>
      <c r="H1" s="4" t="s">
        <v>332</v>
      </c>
      <c r="I1" s="4" t="s">
        <v>333</v>
      </c>
    </row>
    <row r="2" spans="1:9" x14ac:dyDescent="0.2">
      <c r="A2" t="s">
        <v>125</v>
      </c>
      <c r="B2" t="s">
        <v>129</v>
      </c>
      <c r="C2" t="s">
        <v>128</v>
      </c>
      <c r="D2">
        <v>1</v>
      </c>
      <c r="E2" t="s">
        <v>205</v>
      </c>
      <c r="F2" t="s">
        <v>206</v>
      </c>
      <c r="G2" t="s">
        <v>207</v>
      </c>
      <c r="H2" t="s">
        <v>208</v>
      </c>
      <c r="I2" t="s">
        <v>208</v>
      </c>
    </row>
    <row r="3" spans="1:9" x14ac:dyDescent="0.2">
      <c r="A3" t="s">
        <v>125</v>
      </c>
      <c r="B3" t="s">
        <v>129</v>
      </c>
      <c r="C3" t="s">
        <v>128</v>
      </c>
      <c r="D3">
        <v>2</v>
      </c>
      <c r="E3" t="s">
        <v>211</v>
      </c>
      <c r="F3" t="s">
        <v>212</v>
      </c>
      <c r="G3" t="s">
        <v>213</v>
      </c>
      <c r="H3" t="s">
        <v>214</v>
      </c>
      <c r="I3" t="s">
        <v>214</v>
      </c>
    </row>
    <row r="4" spans="1:9" x14ac:dyDescent="0.2">
      <c r="A4" t="s">
        <v>125</v>
      </c>
      <c r="B4" t="s">
        <v>129</v>
      </c>
      <c r="C4" t="s">
        <v>128</v>
      </c>
      <c r="D4">
        <v>3</v>
      </c>
      <c r="E4" t="s">
        <v>217</v>
      </c>
      <c r="F4" t="s">
        <v>218</v>
      </c>
      <c r="G4" t="s">
        <v>219</v>
      </c>
      <c r="H4" t="s">
        <v>220</v>
      </c>
      <c r="I4" t="s">
        <v>220</v>
      </c>
    </row>
    <row r="5" spans="1:9" x14ac:dyDescent="0.2">
      <c r="A5" t="s">
        <v>125</v>
      </c>
      <c r="B5" t="s">
        <v>129</v>
      </c>
      <c r="C5" t="s">
        <v>128</v>
      </c>
      <c r="D5">
        <v>4</v>
      </c>
      <c r="E5" t="s">
        <v>223</v>
      </c>
      <c r="F5" t="s">
        <v>224</v>
      </c>
      <c r="G5" t="s">
        <v>225</v>
      </c>
      <c r="H5" t="s">
        <v>226</v>
      </c>
      <c r="I5" t="s">
        <v>226</v>
      </c>
    </row>
    <row r="6" spans="1:9" x14ac:dyDescent="0.2">
      <c r="A6" t="s">
        <v>125</v>
      </c>
      <c r="B6" t="s">
        <v>129</v>
      </c>
      <c r="C6" t="s">
        <v>128</v>
      </c>
      <c r="D6">
        <v>5</v>
      </c>
      <c r="E6" t="s">
        <v>229</v>
      </c>
      <c r="F6" t="s">
        <v>230</v>
      </c>
      <c r="G6" t="s">
        <v>231</v>
      </c>
      <c r="H6" t="s">
        <v>232</v>
      </c>
      <c r="I6" t="s">
        <v>232</v>
      </c>
    </row>
    <row r="7" spans="1:9" x14ac:dyDescent="0.2">
      <c r="A7" t="s">
        <v>125</v>
      </c>
      <c r="B7" t="s">
        <v>129</v>
      </c>
      <c r="C7" t="s">
        <v>128</v>
      </c>
      <c r="D7">
        <v>6</v>
      </c>
      <c r="E7" t="s">
        <v>235</v>
      </c>
      <c r="F7" t="s">
        <v>236</v>
      </c>
      <c r="G7" t="s">
        <v>237</v>
      </c>
      <c r="H7" t="s">
        <v>238</v>
      </c>
      <c r="I7" t="s">
        <v>238</v>
      </c>
    </row>
    <row r="8" spans="1:9" x14ac:dyDescent="0.2">
      <c r="A8" t="s">
        <v>125</v>
      </c>
      <c r="B8" t="s">
        <v>129</v>
      </c>
      <c r="C8" t="s">
        <v>128</v>
      </c>
      <c r="D8">
        <v>7</v>
      </c>
      <c r="E8" t="s">
        <v>241</v>
      </c>
      <c r="F8" t="s">
        <v>242</v>
      </c>
      <c r="G8" t="s">
        <v>243</v>
      </c>
      <c r="H8" t="s">
        <v>244</v>
      </c>
      <c r="I8" t="s">
        <v>244</v>
      </c>
    </row>
    <row r="9" spans="1:9" x14ac:dyDescent="0.2">
      <c r="A9" t="s">
        <v>125</v>
      </c>
      <c r="B9" t="s">
        <v>129</v>
      </c>
      <c r="C9" t="s">
        <v>128</v>
      </c>
      <c r="D9">
        <v>8</v>
      </c>
      <c r="E9" t="s">
        <v>247</v>
      </c>
      <c r="F9" t="s">
        <v>248</v>
      </c>
      <c r="G9" t="s">
        <v>249</v>
      </c>
      <c r="H9" t="s">
        <v>250</v>
      </c>
      <c r="I9" t="s">
        <v>250</v>
      </c>
    </row>
    <row r="10" spans="1:9" x14ac:dyDescent="0.2">
      <c r="A10" t="s">
        <v>125</v>
      </c>
      <c r="B10" t="s">
        <v>129</v>
      </c>
      <c r="C10" t="s">
        <v>128</v>
      </c>
      <c r="D10">
        <v>9</v>
      </c>
      <c r="E10" t="s">
        <v>253</v>
      </c>
      <c r="F10" t="s">
        <v>254</v>
      </c>
      <c r="G10" t="s">
        <v>255</v>
      </c>
      <c r="H10" t="s">
        <v>256</v>
      </c>
      <c r="I10" t="s">
        <v>256</v>
      </c>
    </row>
    <row r="11" spans="1:9" x14ac:dyDescent="0.2">
      <c r="A11" t="s">
        <v>125</v>
      </c>
      <c r="B11" t="s">
        <v>129</v>
      </c>
      <c r="C11" t="s">
        <v>128</v>
      </c>
      <c r="D11">
        <v>10</v>
      </c>
      <c r="E11" t="s">
        <v>259</v>
      </c>
      <c r="F11" t="s">
        <v>260</v>
      </c>
      <c r="G11" t="s">
        <v>261</v>
      </c>
      <c r="H11" t="s">
        <v>262</v>
      </c>
      <c r="I11" t="s">
        <v>334</v>
      </c>
    </row>
    <row r="12" spans="1:9" x14ac:dyDescent="0.2">
      <c r="A12" t="s">
        <v>125</v>
      </c>
      <c r="B12" t="s">
        <v>129</v>
      </c>
      <c r="C12" t="s">
        <v>128</v>
      </c>
      <c r="D12">
        <v>11</v>
      </c>
      <c r="E12" t="s">
        <v>265</v>
      </c>
      <c r="F12" t="s">
        <v>266</v>
      </c>
      <c r="G12" t="s">
        <v>267</v>
      </c>
      <c r="H12" t="s">
        <v>268</v>
      </c>
      <c r="I12" t="s">
        <v>268</v>
      </c>
    </row>
    <row r="13" spans="1:9" x14ac:dyDescent="0.2">
      <c r="A13" t="s">
        <v>125</v>
      </c>
      <c r="B13" t="s">
        <v>129</v>
      </c>
      <c r="C13" t="s">
        <v>128</v>
      </c>
      <c r="D13">
        <v>12</v>
      </c>
      <c r="E13" t="s">
        <v>271</v>
      </c>
      <c r="F13" t="s">
        <v>272</v>
      </c>
      <c r="G13" t="s">
        <v>273</v>
      </c>
      <c r="H13" t="s">
        <v>274</v>
      </c>
      <c r="I13" t="s">
        <v>274</v>
      </c>
    </row>
    <row r="14" spans="1:9" x14ac:dyDescent="0.2">
      <c r="A14" t="s">
        <v>125</v>
      </c>
      <c r="B14" t="s">
        <v>129</v>
      </c>
      <c r="C14" t="s">
        <v>128</v>
      </c>
      <c r="D14">
        <v>13</v>
      </c>
      <c r="E14" t="s">
        <v>277</v>
      </c>
      <c r="F14" t="s">
        <v>278</v>
      </c>
      <c r="G14" t="s">
        <v>279</v>
      </c>
      <c r="H14" t="s">
        <v>280</v>
      </c>
      <c r="I14" t="s">
        <v>280</v>
      </c>
    </row>
    <row r="15" spans="1:9" x14ac:dyDescent="0.2">
      <c r="A15" t="s">
        <v>125</v>
      </c>
      <c r="B15" t="s">
        <v>129</v>
      </c>
      <c r="C15" t="s">
        <v>128</v>
      </c>
      <c r="D15">
        <v>14</v>
      </c>
      <c r="E15" t="s">
        <v>283</v>
      </c>
      <c r="F15" t="s">
        <v>284</v>
      </c>
      <c r="G15" t="s">
        <v>285</v>
      </c>
      <c r="H15" t="s">
        <v>286</v>
      </c>
      <c r="I15" t="s">
        <v>286</v>
      </c>
    </row>
    <row r="16" spans="1:9" x14ac:dyDescent="0.2">
      <c r="A16" t="s">
        <v>125</v>
      </c>
      <c r="B16" t="s">
        <v>129</v>
      </c>
      <c r="C16" t="s">
        <v>128</v>
      </c>
      <c r="D16">
        <v>15</v>
      </c>
      <c r="E16" t="s">
        <v>289</v>
      </c>
      <c r="F16" t="s">
        <v>290</v>
      </c>
      <c r="G16" t="s">
        <v>291</v>
      </c>
      <c r="H16" t="s">
        <v>292</v>
      </c>
      <c r="I16" t="s">
        <v>292</v>
      </c>
    </row>
    <row r="17" spans="1:9" x14ac:dyDescent="0.2">
      <c r="A17" t="s">
        <v>125</v>
      </c>
      <c r="B17" t="s">
        <v>129</v>
      </c>
      <c r="C17" t="s">
        <v>128</v>
      </c>
      <c r="D17">
        <v>16</v>
      </c>
      <c r="E17" t="s">
        <v>295</v>
      </c>
      <c r="F17" t="s">
        <v>296</v>
      </c>
      <c r="G17" t="s">
        <v>297</v>
      </c>
      <c r="H17" t="s">
        <v>298</v>
      </c>
      <c r="I17" t="s">
        <v>298</v>
      </c>
    </row>
    <row r="18" spans="1:9" x14ac:dyDescent="0.2">
      <c r="A18" t="s">
        <v>125</v>
      </c>
      <c r="B18" t="s">
        <v>129</v>
      </c>
      <c r="C18" t="s">
        <v>128</v>
      </c>
      <c r="D18">
        <v>17</v>
      </c>
      <c r="E18" t="s">
        <v>301</v>
      </c>
      <c r="F18" t="s">
        <v>302</v>
      </c>
      <c r="G18" t="s">
        <v>303</v>
      </c>
      <c r="H18" t="s">
        <v>304</v>
      </c>
      <c r="I18" t="s">
        <v>304</v>
      </c>
    </row>
    <row r="19" spans="1:9" x14ac:dyDescent="0.2">
      <c r="A19" t="s">
        <v>125</v>
      </c>
      <c r="B19" t="s">
        <v>129</v>
      </c>
      <c r="C19" t="s">
        <v>128</v>
      </c>
      <c r="D19">
        <v>18</v>
      </c>
      <c r="E19" t="s">
        <v>307</v>
      </c>
      <c r="F19" t="s">
        <v>308</v>
      </c>
      <c r="G19" t="s">
        <v>309</v>
      </c>
      <c r="H19" t="s">
        <v>310</v>
      </c>
      <c r="I19" t="s">
        <v>310</v>
      </c>
    </row>
    <row r="20" spans="1:9" x14ac:dyDescent="0.2">
      <c r="A20" t="s">
        <v>125</v>
      </c>
      <c r="B20" t="s">
        <v>129</v>
      </c>
      <c r="C20" t="s">
        <v>128</v>
      </c>
      <c r="D20">
        <v>19</v>
      </c>
      <c r="E20" t="s">
        <v>312</v>
      </c>
      <c r="F20" t="s">
        <v>313</v>
      </c>
      <c r="G20" t="s">
        <v>314</v>
      </c>
      <c r="H20" t="s">
        <v>315</v>
      </c>
      <c r="I20" t="s">
        <v>315</v>
      </c>
    </row>
    <row r="21" spans="1:9" x14ac:dyDescent="0.2">
      <c r="A21" t="s">
        <v>125</v>
      </c>
      <c r="B21" t="s">
        <v>129</v>
      </c>
      <c r="C21" t="s">
        <v>128</v>
      </c>
      <c r="D21">
        <v>20</v>
      </c>
      <c r="E21" t="s">
        <v>318</v>
      </c>
      <c r="F21" t="s">
        <v>319</v>
      </c>
      <c r="G21" t="s">
        <v>320</v>
      </c>
      <c r="H21" t="s">
        <v>321</v>
      </c>
      <c r="I21" t="s">
        <v>321</v>
      </c>
    </row>
    <row r="22" spans="1:9" x14ac:dyDescent="0.2">
      <c r="A22" t="s">
        <v>125</v>
      </c>
      <c r="B22" t="s">
        <v>134</v>
      </c>
      <c r="C22" t="s">
        <v>133</v>
      </c>
      <c r="D22">
        <v>1</v>
      </c>
      <c r="E22" t="s">
        <v>205</v>
      </c>
      <c r="F22" t="s">
        <v>206</v>
      </c>
      <c r="G22" t="s">
        <v>207</v>
      </c>
      <c r="H22" t="s">
        <v>208</v>
      </c>
      <c r="I22" t="e">
        <f ca="1">- Use Quicksort: sort the entire array, then return the k-th element.
- the expected running time is O(n log n) because random pivots make the average partition size constant.</f>
        <v>#NAME?</v>
      </c>
    </row>
    <row r="23" spans="1:9" x14ac:dyDescent="0.2">
      <c r="A23" t="s">
        <v>125</v>
      </c>
      <c r="B23" t="s">
        <v>134</v>
      </c>
      <c r="C23" t="s">
        <v>133</v>
      </c>
      <c r="D23">
        <v>2</v>
      </c>
      <c r="E23" t="s">
        <v>211</v>
      </c>
      <c r="F23" t="s">
        <v>212</v>
      </c>
      <c r="G23" t="s">
        <v>213</v>
      </c>
      <c r="H23" t="s">
        <v>214</v>
      </c>
      <c r="I23" t="s">
        <v>335</v>
      </c>
    </row>
    <row r="24" spans="1:9" x14ac:dyDescent="0.2">
      <c r="A24" t="s">
        <v>125</v>
      </c>
      <c r="B24" t="s">
        <v>134</v>
      </c>
      <c r="C24" t="s">
        <v>133</v>
      </c>
      <c r="D24">
        <v>3</v>
      </c>
      <c r="E24" t="s">
        <v>217</v>
      </c>
      <c r="F24" t="s">
        <v>218</v>
      </c>
      <c r="G24" t="s">
        <v>219</v>
      </c>
      <c r="H24" t="s">
        <v>220</v>
      </c>
      <c r="I24" t="s">
        <v>336</v>
      </c>
    </row>
    <row r="25" spans="1:9" x14ac:dyDescent="0.2">
      <c r="A25" t="s">
        <v>125</v>
      </c>
      <c r="B25" t="s">
        <v>134</v>
      </c>
      <c r="C25" t="s">
        <v>133</v>
      </c>
      <c r="D25">
        <v>4</v>
      </c>
      <c r="E25" t="s">
        <v>223</v>
      </c>
      <c r="F25" t="s">
        <v>224</v>
      </c>
      <c r="G25" t="s">
        <v>225</v>
      </c>
      <c r="H25" t="s">
        <v>226</v>
      </c>
      <c r="I25" t="s">
        <v>337</v>
      </c>
    </row>
    <row r="26" spans="1:9" x14ac:dyDescent="0.2">
      <c r="A26" t="s">
        <v>125</v>
      </c>
      <c r="B26" t="s">
        <v>134</v>
      </c>
      <c r="C26" t="s">
        <v>133</v>
      </c>
      <c r="D26">
        <v>5</v>
      </c>
      <c r="E26" t="s">
        <v>229</v>
      </c>
      <c r="F26" t="s">
        <v>230</v>
      </c>
      <c r="G26" t="s">
        <v>231</v>
      </c>
      <c r="H26" t="s">
        <v>232</v>
      </c>
      <c r="I26" t="s">
        <v>338</v>
      </c>
    </row>
    <row r="27" spans="1:9" ht="32" x14ac:dyDescent="0.2">
      <c r="A27" t="s">
        <v>125</v>
      </c>
      <c r="B27" t="s">
        <v>134</v>
      </c>
      <c r="C27" t="s">
        <v>133</v>
      </c>
      <c r="D27">
        <v>6</v>
      </c>
      <c r="E27" t="s">
        <v>235</v>
      </c>
      <c r="F27" t="s">
        <v>236</v>
      </c>
      <c r="G27" t="s">
        <v>237</v>
      </c>
      <c r="H27" t="s">
        <v>238</v>
      </c>
      <c r="I27" s="8" t="s">
        <v>339</v>
      </c>
    </row>
    <row r="28" spans="1:9" x14ac:dyDescent="0.2">
      <c r="A28" t="s">
        <v>125</v>
      </c>
      <c r="B28" t="s">
        <v>134</v>
      </c>
      <c r="C28" t="s">
        <v>133</v>
      </c>
      <c r="D28">
        <v>7</v>
      </c>
      <c r="E28" t="s">
        <v>241</v>
      </c>
      <c r="F28" t="s">
        <v>242</v>
      </c>
      <c r="G28" t="s">
        <v>243</v>
      </c>
      <c r="H28" t="s">
        <v>244</v>
      </c>
      <c r="I28" t="s">
        <v>340</v>
      </c>
    </row>
    <row r="29" spans="1:9" x14ac:dyDescent="0.2">
      <c r="A29" t="s">
        <v>125</v>
      </c>
      <c r="B29" t="s">
        <v>134</v>
      </c>
      <c r="C29" t="s">
        <v>133</v>
      </c>
      <c r="D29">
        <v>8</v>
      </c>
      <c r="E29" t="s">
        <v>247</v>
      </c>
      <c r="F29" t="s">
        <v>248</v>
      </c>
      <c r="G29" t="s">
        <v>249</v>
      </c>
      <c r="H29" t="s">
        <v>250</v>
      </c>
      <c r="I29" t="s">
        <v>341</v>
      </c>
    </row>
    <row r="30" spans="1:9" x14ac:dyDescent="0.2">
      <c r="A30" t="s">
        <v>125</v>
      </c>
      <c r="B30" t="s">
        <v>134</v>
      </c>
      <c r="C30" t="s">
        <v>133</v>
      </c>
      <c r="D30">
        <v>9</v>
      </c>
      <c r="E30" t="s">
        <v>253</v>
      </c>
      <c r="F30" t="s">
        <v>254</v>
      </c>
      <c r="G30" t="s">
        <v>255</v>
      </c>
      <c r="H30" t="s">
        <v>256</v>
      </c>
      <c r="I30" t="s">
        <v>342</v>
      </c>
    </row>
    <row r="31" spans="1:9" ht="32" x14ac:dyDescent="0.2">
      <c r="A31" t="s">
        <v>125</v>
      </c>
      <c r="B31" t="s">
        <v>134</v>
      </c>
      <c r="C31" t="s">
        <v>133</v>
      </c>
      <c r="D31">
        <v>10</v>
      </c>
      <c r="E31" t="s">
        <v>259</v>
      </c>
      <c r="F31" t="s">
        <v>260</v>
      </c>
      <c r="G31" t="s">
        <v>261</v>
      </c>
      <c r="H31" t="s">
        <v>262</v>
      </c>
      <c r="I31" s="8" t="s">
        <v>343</v>
      </c>
    </row>
    <row r="32" spans="1:9" x14ac:dyDescent="0.2">
      <c r="A32" t="s">
        <v>125</v>
      </c>
      <c r="B32" t="s">
        <v>134</v>
      </c>
      <c r="C32" t="s">
        <v>133</v>
      </c>
      <c r="D32">
        <v>11</v>
      </c>
      <c r="E32" t="s">
        <v>265</v>
      </c>
      <c r="F32" t="s">
        <v>266</v>
      </c>
      <c r="G32" t="s">
        <v>267</v>
      </c>
      <c r="H32" t="s">
        <v>268</v>
      </c>
      <c r="I32" t="e">
        <f>- An idempotent method produces a different result when repeated.
- Example: POST retrieves data without altering state.</f>
        <v>#NAME?</v>
      </c>
    </row>
    <row r="33" spans="1:9" x14ac:dyDescent="0.2">
      <c r="A33" t="s">
        <v>125</v>
      </c>
      <c r="B33" t="s">
        <v>134</v>
      </c>
      <c r="C33" t="s">
        <v>133</v>
      </c>
      <c r="D33">
        <v>12</v>
      </c>
      <c r="E33" t="s">
        <v>271</v>
      </c>
      <c r="F33" t="s">
        <v>272</v>
      </c>
      <c r="G33" t="s">
        <v>273</v>
      </c>
      <c r="H33" t="s">
        <v>274</v>
      </c>
      <c r="I33" t="s">
        <v>344</v>
      </c>
    </row>
    <row r="34" spans="1:9" ht="32" x14ac:dyDescent="0.2">
      <c r="A34" t="s">
        <v>125</v>
      </c>
      <c r="B34" t="s">
        <v>134</v>
      </c>
      <c r="C34" t="s">
        <v>133</v>
      </c>
      <c r="D34">
        <v>13</v>
      </c>
      <c r="E34" t="s">
        <v>277</v>
      </c>
      <c r="F34" t="s">
        <v>278</v>
      </c>
      <c r="G34" t="s">
        <v>279</v>
      </c>
      <c r="H34" t="s">
        <v>280</v>
      </c>
      <c r="I34" s="8" t="s">
        <v>345</v>
      </c>
    </row>
    <row r="35" spans="1:9" x14ac:dyDescent="0.2">
      <c r="A35" t="s">
        <v>125</v>
      </c>
      <c r="B35" t="s">
        <v>134</v>
      </c>
      <c r="C35" t="s">
        <v>133</v>
      </c>
      <c r="D35">
        <v>14</v>
      </c>
      <c r="E35" t="s">
        <v>283</v>
      </c>
      <c r="F35" t="s">
        <v>284</v>
      </c>
      <c r="G35" t="s">
        <v>285</v>
      </c>
      <c r="H35" t="s">
        <v>286</v>
      </c>
      <c r="I35" t="s">
        <v>346</v>
      </c>
    </row>
    <row r="36" spans="1:9" ht="32" x14ac:dyDescent="0.2">
      <c r="A36" t="s">
        <v>125</v>
      </c>
      <c r="B36" t="s">
        <v>134</v>
      </c>
      <c r="C36" t="s">
        <v>133</v>
      </c>
      <c r="D36">
        <v>15</v>
      </c>
      <c r="E36" t="s">
        <v>289</v>
      </c>
      <c r="F36" t="s">
        <v>290</v>
      </c>
      <c r="G36" t="s">
        <v>291</v>
      </c>
      <c r="H36" t="s">
        <v>292</v>
      </c>
      <c r="I36" s="8" t="s">
        <v>347</v>
      </c>
    </row>
    <row r="37" spans="1:9" x14ac:dyDescent="0.2">
      <c r="A37" t="s">
        <v>125</v>
      </c>
      <c r="B37" t="s">
        <v>134</v>
      </c>
      <c r="C37" t="s">
        <v>133</v>
      </c>
      <c r="D37">
        <v>16</v>
      </c>
      <c r="E37" t="s">
        <v>295</v>
      </c>
      <c r="F37" t="s">
        <v>296</v>
      </c>
      <c r="G37" t="s">
        <v>297</v>
      </c>
      <c r="H37" t="s">
        <v>298</v>
      </c>
      <c r="I37" t="e">
        <f>- the engineer should publicly disclose the issue immediately to raise awareness, prioritizing transparency over procedure.</f>
        <v>#NAME?</v>
      </c>
    </row>
    <row r="38" spans="1:9" x14ac:dyDescent="0.2">
      <c r="A38" t="s">
        <v>125</v>
      </c>
      <c r="B38" t="s">
        <v>134</v>
      </c>
      <c r="C38" t="s">
        <v>133</v>
      </c>
      <c r="D38">
        <v>17</v>
      </c>
      <c r="E38" t="s">
        <v>301</v>
      </c>
      <c r="F38" t="s">
        <v>302</v>
      </c>
      <c r="G38" t="s">
        <v>303</v>
      </c>
      <c r="H38" t="s">
        <v>304</v>
      </c>
      <c r="I38" t="s">
        <v>348</v>
      </c>
    </row>
    <row r="39" spans="1:9" x14ac:dyDescent="0.2">
      <c r="A39" t="s">
        <v>125</v>
      </c>
      <c r="B39" t="s">
        <v>134</v>
      </c>
      <c r="C39" t="s">
        <v>133</v>
      </c>
      <c r="D39">
        <v>18</v>
      </c>
      <c r="E39" t="s">
        <v>307</v>
      </c>
      <c r="F39" t="s">
        <v>308</v>
      </c>
      <c r="G39" t="s">
        <v>309</v>
      </c>
      <c r="H39" t="s">
        <v>310</v>
      </c>
      <c r="I39" t="s">
        <v>349</v>
      </c>
    </row>
    <row r="40" spans="1:9" x14ac:dyDescent="0.2">
      <c r="A40" t="s">
        <v>125</v>
      </c>
      <c r="B40" t="s">
        <v>134</v>
      </c>
      <c r="C40" t="s">
        <v>133</v>
      </c>
      <c r="D40">
        <v>19</v>
      </c>
      <c r="E40" t="s">
        <v>312</v>
      </c>
      <c r="F40" t="s">
        <v>313</v>
      </c>
      <c r="G40" t="s">
        <v>314</v>
      </c>
      <c r="H40" t="s">
        <v>315</v>
      </c>
      <c r="I40" t="e">
        <f>- It trades lower logistics costs for better customer metrics.
- logistics costs and repeat purchases improved.</f>
        <v>#NAME?</v>
      </c>
    </row>
    <row r="41" spans="1:9" x14ac:dyDescent="0.2">
      <c r="A41" t="s">
        <v>125</v>
      </c>
      <c r="B41" t="s">
        <v>134</v>
      </c>
      <c r="C41" t="s">
        <v>133</v>
      </c>
      <c r="D41">
        <v>20</v>
      </c>
      <c r="E41" t="s">
        <v>318</v>
      </c>
      <c r="F41" t="s">
        <v>319</v>
      </c>
      <c r="G41" t="s">
        <v>320</v>
      </c>
      <c r="H41" t="s">
        <v>321</v>
      </c>
      <c r="I41" t="e">
        <f>- a unit test checks multiple components working together, such AS submitting An ORDER and confirming An email.
- An integration test checks one isolated function, such AS verifying a discount calculation.</f>
        <v>#NAME?</v>
      </c>
    </row>
    <row r="42" spans="1:9" ht="48" x14ac:dyDescent="0.2">
      <c r="A42" t="s">
        <v>125</v>
      </c>
      <c r="B42" t="s">
        <v>139</v>
      </c>
      <c r="C42" t="s">
        <v>138</v>
      </c>
      <c r="D42">
        <v>1</v>
      </c>
      <c r="E42" t="s">
        <v>205</v>
      </c>
      <c r="F42" t="s">
        <v>206</v>
      </c>
      <c r="G42" t="s">
        <v>207</v>
      </c>
      <c r="H42" t="s">
        <v>208</v>
      </c>
      <c r="I42" s="8" t="s">
        <v>350</v>
      </c>
    </row>
    <row r="43" spans="1:9" x14ac:dyDescent="0.2">
      <c r="A43" t="s">
        <v>125</v>
      </c>
      <c r="B43" t="s">
        <v>139</v>
      </c>
      <c r="C43" t="s">
        <v>138</v>
      </c>
      <c r="D43">
        <v>2</v>
      </c>
      <c r="E43" t="s">
        <v>211</v>
      </c>
      <c r="F43" t="s">
        <v>212</v>
      </c>
      <c r="G43" t="s">
        <v>213</v>
      </c>
      <c r="H43" t="s">
        <v>214</v>
      </c>
      <c r="I43" t="s">
        <v>214</v>
      </c>
    </row>
    <row r="44" spans="1:9" x14ac:dyDescent="0.2">
      <c r="A44" t="s">
        <v>125</v>
      </c>
      <c r="B44" t="s">
        <v>139</v>
      </c>
      <c r="C44" t="s">
        <v>138</v>
      </c>
      <c r="D44">
        <v>3</v>
      </c>
      <c r="E44" t="s">
        <v>217</v>
      </c>
      <c r="F44" t="s">
        <v>218</v>
      </c>
      <c r="G44" t="s">
        <v>219</v>
      </c>
      <c r="H44" t="s">
        <v>220</v>
      </c>
      <c r="I44" t="s">
        <v>220</v>
      </c>
    </row>
    <row r="45" spans="1:9" x14ac:dyDescent="0.2">
      <c r="A45" t="s">
        <v>125</v>
      </c>
      <c r="B45" t="s">
        <v>139</v>
      </c>
      <c r="C45" t="s">
        <v>138</v>
      </c>
      <c r="D45">
        <v>4</v>
      </c>
      <c r="E45" t="s">
        <v>223</v>
      </c>
      <c r="F45" t="s">
        <v>224</v>
      </c>
      <c r="G45" t="s">
        <v>225</v>
      </c>
      <c r="H45" t="s">
        <v>226</v>
      </c>
      <c r="I45" t="s">
        <v>226</v>
      </c>
    </row>
    <row r="46" spans="1:9" x14ac:dyDescent="0.2">
      <c r="A46" t="s">
        <v>125</v>
      </c>
      <c r="B46" t="s">
        <v>139</v>
      </c>
      <c r="C46" t="s">
        <v>138</v>
      </c>
      <c r="D46">
        <v>5</v>
      </c>
      <c r="E46" t="s">
        <v>229</v>
      </c>
      <c r="F46" t="s">
        <v>230</v>
      </c>
      <c r="G46" t="s">
        <v>231</v>
      </c>
      <c r="H46" t="s">
        <v>232</v>
      </c>
      <c r="I46" t="s">
        <v>232</v>
      </c>
    </row>
    <row r="47" spans="1:9" ht="48" x14ac:dyDescent="0.2">
      <c r="A47" t="s">
        <v>125</v>
      </c>
      <c r="B47" t="s">
        <v>139</v>
      </c>
      <c r="C47" t="s">
        <v>138</v>
      </c>
      <c r="D47">
        <v>6</v>
      </c>
      <c r="E47" t="s">
        <v>235</v>
      </c>
      <c r="F47" t="s">
        <v>236</v>
      </c>
      <c r="G47" t="s">
        <v>237</v>
      </c>
      <c r="H47" t="s">
        <v>238</v>
      </c>
      <c r="I47" s="8" t="s">
        <v>351</v>
      </c>
    </row>
    <row r="48" spans="1:9" x14ac:dyDescent="0.2">
      <c r="A48" t="s">
        <v>125</v>
      </c>
      <c r="B48" t="s">
        <v>139</v>
      </c>
      <c r="C48" t="s">
        <v>138</v>
      </c>
      <c r="D48">
        <v>7</v>
      </c>
      <c r="E48" t="s">
        <v>241</v>
      </c>
      <c r="F48" t="s">
        <v>242</v>
      </c>
      <c r="G48" t="s">
        <v>243</v>
      </c>
      <c r="H48" t="s">
        <v>244</v>
      </c>
      <c r="I48" t="s">
        <v>244</v>
      </c>
    </row>
    <row r="49" spans="1:9" x14ac:dyDescent="0.2">
      <c r="A49" t="s">
        <v>125</v>
      </c>
      <c r="B49" t="s">
        <v>139</v>
      </c>
      <c r="C49" t="s">
        <v>138</v>
      </c>
      <c r="D49">
        <v>8</v>
      </c>
      <c r="E49" t="s">
        <v>247</v>
      </c>
      <c r="F49" t="s">
        <v>248</v>
      </c>
      <c r="G49" t="s">
        <v>249</v>
      </c>
      <c r="H49" t="s">
        <v>250</v>
      </c>
      <c r="I49" t="s">
        <v>250</v>
      </c>
    </row>
    <row r="50" spans="1:9" x14ac:dyDescent="0.2">
      <c r="A50" t="s">
        <v>125</v>
      </c>
      <c r="B50" t="s">
        <v>139</v>
      </c>
      <c r="C50" t="s">
        <v>138</v>
      </c>
      <c r="D50">
        <v>9</v>
      </c>
      <c r="E50" t="s">
        <v>253</v>
      </c>
      <c r="F50" t="s">
        <v>254</v>
      </c>
      <c r="G50" t="s">
        <v>255</v>
      </c>
      <c r="H50" t="s">
        <v>256</v>
      </c>
      <c r="I50" t="s">
        <v>256</v>
      </c>
    </row>
    <row r="51" spans="1:9" ht="48" x14ac:dyDescent="0.2">
      <c r="A51" t="s">
        <v>125</v>
      </c>
      <c r="B51" t="s">
        <v>139</v>
      </c>
      <c r="C51" t="s">
        <v>138</v>
      </c>
      <c r="D51">
        <v>10</v>
      </c>
      <c r="E51" t="s">
        <v>259</v>
      </c>
      <c r="F51" t="s">
        <v>260</v>
      </c>
      <c r="G51" t="s">
        <v>261</v>
      </c>
      <c r="H51" t="s">
        <v>262</v>
      </c>
      <c r="I51" s="8" t="s">
        <v>352</v>
      </c>
    </row>
    <row r="52" spans="1:9" ht="48" x14ac:dyDescent="0.2">
      <c r="A52" t="s">
        <v>125</v>
      </c>
      <c r="B52" t="s">
        <v>139</v>
      </c>
      <c r="C52" t="s">
        <v>138</v>
      </c>
      <c r="D52">
        <v>11</v>
      </c>
      <c r="E52" t="s">
        <v>265</v>
      </c>
      <c r="F52" t="s">
        <v>266</v>
      </c>
      <c r="G52" t="s">
        <v>267</v>
      </c>
      <c r="H52" t="s">
        <v>268</v>
      </c>
      <c r="I52" s="8" t="s">
        <v>353</v>
      </c>
    </row>
    <row r="53" spans="1:9" x14ac:dyDescent="0.2">
      <c r="A53" t="s">
        <v>125</v>
      </c>
      <c r="B53" t="s">
        <v>139</v>
      </c>
      <c r="C53" t="s">
        <v>138</v>
      </c>
      <c r="D53">
        <v>12</v>
      </c>
      <c r="E53" t="s">
        <v>271</v>
      </c>
      <c r="F53" t="s">
        <v>272</v>
      </c>
      <c r="G53" t="s">
        <v>273</v>
      </c>
      <c r="H53" t="s">
        <v>274</v>
      </c>
      <c r="I53" t="s">
        <v>274</v>
      </c>
    </row>
    <row r="54" spans="1:9" ht="48" x14ac:dyDescent="0.2">
      <c r="A54" t="s">
        <v>125</v>
      </c>
      <c r="B54" t="s">
        <v>139</v>
      </c>
      <c r="C54" t="s">
        <v>138</v>
      </c>
      <c r="D54">
        <v>13</v>
      </c>
      <c r="E54" t="s">
        <v>277</v>
      </c>
      <c r="F54" t="s">
        <v>278</v>
      </c>
      <c r="G54" t="s">
        <v>279</v>
      </c>
      <c r="H54" t="s">
        <v>280</v>
      </c>
      <c r="I54" s="8" t="s">
        <v>354</v>
      </c>
    </row>
    <row r="55" spans="1:9" x14ac:dyDescent="0.2">
      <c r="A55" t="s">
        <v>125</v>
      </c>
      <c r="B55" t="s">
        <v>139</v>
      </c>
      <c r="C55" t="s">
        <v>138</v>
      </c>
      <c r="D55">
        <v>14</v>
      </c>
      <c r="E55" t="s">
        <v>283</v>
      </c>
      <c r="F55" t="s">
        <v>284</v>
      </c>
      <c r="G55" t="s">
        <v>285</v>
      </c>
      <c r="H55" t="s">
        <v>286</v>
      </c>
      <c r="I55" t="s">
        <v>286</v>
      </c>
    </row>
    <row r="56" spans="1:9" ht="48" x14ac:dyDescent="0.2">
      <c r="A56" t="s">
        <v>125</v>
      </c>
      <c r="B56" t="s">
        <v>139</v>
      </c>
      <c r="C56" t="s">
        <v>138</v>
      </c>
      <c r="D56">
        <v>15</v>
      </c>
      <c r="E56" t="s">
        <v>289</v>
      </c>
      <c r="F56" t="s">
        <v>290</v>
      </c>
      <c r="G56" t="s">
        <v>291</v>
      </c>
      <c r="H56" t="s">
        <v>292</v>
      </c>
      <c r="I56" s="8" t="s">
        <v>355</v>
      </c>
    </row>
    <row r="57" spans="1:9" x14ac:dyDescent="0.2">
      <c r="A57" t="s">
        <v>125</v>
      </c>
      <c r="B57" t="s">
        <v>139</v>
      </c>
      <c r="C57" t="s">
        <v>138</v>
      </c>
      <c r="D57">
        <v>16</v>
      </c>
      <c r="E57" t="s">
        <v>295</v>
      </c>
      <c r="F57" t="s">
        <v>296</v>
      </c>
      <c r="G57" t="s">
        <v>297</v>
      </c>
      <c r="H57" t="s">
        <v>298</v>
      </c>
      <c r="I57" t="s">
        <v>298</v>
      </c>
    </row>
    <row r="58" spans="1:9" x14ac:dyDescent="0.2">
      <c r="A58" t="s">
        <v>125</v>
      </c>
      <c r="B58" t="s">
        <v>139</v>
      </c>
      <c r="C58" t="s">
        <v>138</v>
      </c>
      <c r="D58">
        <v>17</v>
      </c>
      <c r="E58" t="s">
        <v>301</v>
      </c>
      <c r="F58" t="s">
        <v>302</v>
      </c>
      <c r="G58" t="s">
        <v>303</v>
      </c>
      <c r="H58" t="s">
        <v>304</v>
      </c>
      <c r="I58" t="s">
        <v>304</v>
      </c>
    </row>
    <row r="59" spans="1:9" x14ac:dyDescent="0.2">
      <c r="A59" t="s">
        <v>125</v>
      </c>
      <c r="B59" t="s">
        <v>139</v>
      </c>
      <c r="C59" t="s">
        <v>138</v>
      </c>
      <c r="D59">
        <v>18</v>
      </c>
      <c r="E59" t="s">
        <v>307</v>
      </c>
      <c r="F59" t="s">
        <v>308</v>
      </c>
      <c r="G59" t="s">
        <v>309</v>
      </c>
      <c r="H59" t="s">
        <v>310</v>
      </c>
      <c r="I59" t="s">
        <v>310</v>
      </c>
    </row>
    <row r="60" spans="1:9" ht="48" x14ac:dyDescent="0.2">
      <c r="A60" t="s">
        <v>125</v>
      </c>
      <c r="B60" t="s">
        <v>139</v>
      </c>
      <c r="C60" t="s">
        <v>138</v>
      </c>
      <c r="D60">
        <v>19</v>
      </c>
      <c r="E60" t="s">
        <v>312</v>
      </c>
      <c r="F60" t="s">
        <v>313</v>
      </c>
      <c r="G60" t="s">
        <v>314</v>
      </c>
      <c r="H60" t="s">
        <v>315</v>
      </c>
      <c r="I60" s="8" t="s">
        <v>356</v>
      </c>
    </row>
    <row r="61" spans="1:9" ht="48" x14ac:dyDescent="0.2">
      <c r="A61" t="s">
        <v>125</v>
      </c>
      <c r="B61" t="s">
        <v>139</v>
      </c>
      <c r="C61" t="s">
        <v>138</v>
      </c>
      <c r="D61">
        <v>20</v>
      </c>
      <c r="E61" t="s">
        <v>318</v>
      </c>
      <c r="F61" t="s">
        <v>319</v>
      </c>
      <c r="G61" t="s">
        <v>320</v>
      </c>
      <c r="H61" t="s">
        <v>321</v>
      </c>
      <c r="I61" s="8" t="s">
        <v>357</v>
      </c>
    </row>
    <row r="62" spans="1:9" x14ac:dyDescent="0.2">
      <c r="A62" t="s">
        <v>144</v>
      </c>
      <c r="B62" t="s">
        <v>147</v>
      </c>
      <c r="C62" t="s">
        <v>27</v>
      </c>
      <c r="D62">
        <v>1</v>
      </c>
      <c r="E62" t="s">
        <v>205</v>
      </c>
      <c r="F62" t="s">
        <v>206</v>
      </c>
      <c r="G62" t="s">
        <v>207</v>
      </c>
      <c r="H62" t="s">
        <v>208</v>
      </c>
      <c r="I62" t="s">
        <v>358</v>
      </c>
    </row>
    <row r="63" spans="1:9" x14ac:dyDescent="0.2">
      <c r="A63" t="s">
        <v>144</v>
      </c>
      <c r="B63" t="s">
        <v>147</v>
      </c>
      <c r="C63" t="s">
        <v>27</v>
      </c>
      <c r="D63">
        <v>2</v>
      </c>
      <c r="E63" t="s">
        <v>211</v>
      </c>
      <c r="F63" t="s">
        <v>212</v>
      </c>
      <c r="G63" t="s">
        <v>213</v>
      </c>
      <c r="H63" t="s">
        <v>214</v>
      </c>
      <c r="I63" t="s">
        <v>359</v>
      </c>
    </row>
    <row r="64" spans="1:9" x14ac:dyDescent="0.2">
      <c r="A64" t="s">
        <v>144</v>
      </c>
      <c r="B64" t="s">
        <v>147</v>
      </c>
      <c r="C64" t="s">
        <v>27</v>
      </c>
      <c r="D64">
        <v>3</v>
      </c>
      <c r="E64" t="s">
        <v>217</v>
      </c>
      <c r="F64" t="s">
        <v>218</v>
      </c>
      <c r="G64" t="s">
        <v>219</v>
      </c>
      <c r="H64" t="s">
        <v>220</v>
      </c>
      <c r="I64" t="s">
        <v>360</v>
      </c>
    </row>
    <row r="65" spans="1:9" x14ac:dyDescent="0.2">
      <c r="A65" t="s">
        <v>144</v>
      </c>
      <c r="B65" t="s">
        <v>147</v>
      </c>
      <c r="C65" t="s">
        <v>27</v>
      </c>
      <c r="D65">
        <v>4</v>
      </c>
      <c r="E65" t="s">
        <v>223</v>
      </c>
      <c r="F65" t="s">
        <v>224</v>
      </c>
      <c r="G65" t="s">
        <v>225</v>
      </c>
      <c r="H65" t="s">
        <v>226</v>
      </c>
      <c r="I65" t="s">
        <v>361</v>
      </c>
    </row>
    <row r="66" spans="1:9" x14ac:dyDescent="0.2">
      <c r="A66" t="s">
        <v>144</v>
      </c>
      <c r="B66" t="s">
        <v>147</v>
      </c>
      <c r="C66" t="s">
        <v>27</v>
      </c>
      <c r="D66">
        <v>5</v>
      </c>
      <c r="E66" t="s">
        <v>229</v>
      </c>
      <c r="F66" t="s">
        <v>230</v>
      </c>
      <c r="G66" t="s">
        <v>231</v>
      </c>
      <c r="H66" t="s">
        <v>232</v>
      </c>
      <c r="I66" t="s">
        <v>362</v>
      </c>
    </row>
    <row r="67" spans="1:9" x14ac:dyDescent="0.2">
      <c r="A67" t="s">
        <v>144</v>
      </c>
      <c r="B67" t="s">
        <v>147</v>
      </c>
      <c r="C67" t="s">
        <v>27</v>
      </c>
      <c r="D67">
        <v>6</v>
      </c>
      <c r="E67" t="s">
        <v>235</v>
      </c>
      <c r="F67" t="s">
        <v>236</v>
      </c>
      <c r="G67" t="s">
        <v>237</v>
      </c>
      <c r="H67" t="s">
        <v>238</v>
      </c>
      <c r="I67" t="s">
        <v>363</v>
      </c>
    </row>
    <row r="68" spans="1:9" x14ac:dyDescent="0.2">
      <c r="A68" t="s">
        <v>144</v>
      </c>
      <c r="B68" t="s">
        <v>147</v>
      </c>
      <c r="C68" t="s">
        <v>27</v>
      </c>
      <c r="D68">
        <v>7</v>
      </c>
      <c r="E68" t="s">
        <v>241</v>
      </c>
      <c r="F68" t="s">
        <v>242</v>
      </c>
      <c r="G68" t="s">
        <v>243</v>
      </c>
      <c r="H68" t="s">
        <v>244</v>
      </c>
      <c r="I68" t="s">
        <v>364</v>
      </c>
    </row>
    <row r="69" spans="1:9" x14ac:dyDescent="0.2">
      <c r="A69" t="s">
        <v>144</v>
      </c>
      <c r="B69" t="s">
        <v>147</v>
      </c>
      <c r="C69" t="s">
        <v>27</v>
      </c>
      <c r="D69">
        <v>8</v>
      </c>
      <c r="E69" t="s">
        <v>247</v>
      </c>
      <c r="F69" t="s">
        <v>248</v>
      </c>
      <c r="G69" t="s">
        <v>249</v>
      </c>
      <c r="H69" t="s">
        <v>250</v>
      </c>
      <c r="I69" t="s">
        <v>365</v>
      </c>
    </row>
    <row r="70" spans="1:9" x14ac:dyDescent="0.2">
      <c r="A70" t="s">
        <v>144</v>
      </c>
      <c r="B70" t="s">
        <v>147</v>
      </c>
      <c r="C70" t="s">
        <v>27</v>
      </c>
      <c r="D70">
        <v>9</v>
      </c>
      <c r="E70" t="s">
        <v>253</v>
      </c>
      <c r="F70" t="s">
        <v>254</v>
      </c>
      <c r="G70" t="s">
        <v>255</v>
      </c>
      <c r="H70" t="s">
        <v>256</v>
      </c>
      <c r="I70" t="s">
        <v>366</v>
      </c>
    </row>
    <row r="71" spans="1:9" x14ac:dyDescent="0.2">
      <c r="A71" t="s">
        <v>144</v>
      </c>
      <c r="B71" t="s">
        <v>147</v>
      </c>
      <c r="C71" t="s">
        <v>27</v>
      </c>
      <c r="D71">
        <v>10</v>
      </c>
      <c r="E71" t="s">
        <v>259</v>
      </c>
      <c r="F71" t="s">
        <v>260</v>
      </c>
      <c r="G71" t="s">
        <v>261</v>
      </c>
      <c r="H71" t="s">
        <v>262</v>
      </c>
      <c r="I71" t="s">
        <v>367</v>
      </c>
    </row>
    <row r="72" spans="1:9" x14ac:dyDescent="0.2">
      <c r="A72" t="s">
        <v>144</v>
      </c>
      <c r="B72" t="s">
        <v>147</v>
      </c>
      <c r="C72" t="s">
        <v>27</v>
      </c>
      <c r="D72">
        <v>11</v>
      </c>
      <c r="E72" t="s">
        <v>265</v>
      </c>
      <c r="F72" t="s">
        <v>266</v>
      </c>
      <c r="G72" t="s">
        <v>267</v>
      </c>
      <c r="H72" t="s">
        <v>268</v>
      </c>
      <c r="I72" t="s">
        <v>368</v>
      </c>
    </row>
    <row r="73" spans="1:9" x14ac:dyDescent="0.2">
      <c r="A73" t="s">
        <v>144</v>
      </c>
      <c r="B73" t="s">
        <v>147</v>
      </c>
      <c r="C73" t="s">
        <v>27</v>
      </c>
      <c r="D73">
        <v>12</v>
      </c>
      <c r="E73" t="s">
        <v>271</v>
      </c>
      <c r="F73" t="s">
        <v>272</v>
      </c>
      <c r="G73" t="s">
        <v>273</v>
      </c>
      <c r="H73" t="s">
        <v>274</v>
      </c>
      <c r="I73" t="s">
        <v>369</v>
      </c>
    </row>
    <row r="74" spans="1:9" x14ac:dyDescent="0.2">
      <c r="A74" t="s">
        <v>144</v>
      </c>
      <c r="B74" t="s">
        <v>147</v>
      </c>
      <c r="C74" t="s">
        <v>27</v>
      </c>
      <c r="D74">
        <v>13</v>
      </c>
      <c r="E74" t="s">
        <v>277</v>
      </c>
      <c r="F74" t="s">
        <v>278</v>
      </c>
      <c r="G74" t="s">
        <v>279</v>
      </c>
      <c r="H74" t="s">
        <v>280</v>
      </c>
      <c r="I74" t="s">
        <v>370</v>
      </c>
    </row>
    <row r="75" spans="1:9" x14ac:dyDescent="0.2">
      <c r="A75" t="s">
        <v>144</v>
      </c>
      <c r="B75" t="s">
        <v>147</v>
      </c>
      <c r="C75" t="s">
        <v>27</v>
      </c>
      <c r="D75">
        <v>14</v>
      </c>
      <c r="E75" t="s">
        <v>283</v>
      </c>
      <c r="F75" t="s">
        <v>284</v>
      </c>
      <c r="G75" t="s">
        <v>285</v>
      </c>
      <c r="H75" t="s">
        <v>286</v>
      </c>
      <c r="I75" t="s">
        <v>371</v>
      </c>
    </row>
    <row r="76" spans="1:9" x14ac:dyDescent="0.2">
      <c r="A76" t="s">
        <v>144</v>
      </c>
      <c r="B76" t="s">
        <v>147</v>
      </c>
      <c r="C76" t="s">
        <v>27</v>
      </c>
      <c r="D76">
        <v>15</v>
      </c>
      <c r="E76" t="s">
        <v>289</v>
      </c>
      <c r="F76" t="s">
        <v>290</v>
      </c>
      <c r="G76" t="s">
        <v>291</v>
      </c>
      <c r="H76" t="s">
        <v>292</v>
      </c>
      <c r="I76" t="s">
        <v>372</v>
      </c>
    </row>
    <row r="77" spans="1:9" x14ac:dyDescent="0.2">
      <c r="A77" t="s">
        <v>144</v>
      </c>
      <c r="B77" t="s">
        <v>147</v>
      </c>
      <c r="C77" t="s">
        <v>27</v>
      </c>
      <c r="D77">
        <v>16</v>
      </c>
      <c r="E77" t="s">
        <v>295</v>
      </c>
      <c r="F77" t="s">
        <v>296</v>
      </c>
      <c r="G77" t="s">
        <v>297</v>
      </c>
      <c r="H77" t="s">
        <v>298</v>
      </c>
      <c r="I77" t="s">
        <v>373</v>
      </c>
    </row>
    <row r="78" spans="1:9" x14ac:dyDescent="0.2">
      <c r="A78" t="s">
        <v>144</v>
      </c>
      <c r="B78" t="s">
        <v>147</v>
      </c>
      <c r="C78" t="s">
        <v>27</v>
      </c>
      <c r="D78">
        <v>17</v>
      </c>
      <c r="E78" t="s">
        <v>301</v>
      </c>
      <c r="F78" t="s">
        <v>302</v>
      </c>
      <c r="G78" t="s">
        <v>303</v>
      </c>
      <c r="H78" t="s">
        <v>304</v>
      </c>
      <c r="I78" t="s">
        <v>374</v>
      </c>
    </row>
    <row r="79" spans="1:9" x14ac:dyDescent="0.2">
      <c r="A79" t="s">
        <v>144</v>
      </c>
      <c r="B79" t="s">
        <v>147</v>
      </c>
      <c r="C79" t="s">
        <v>27</v>
      </c>
      <c r="D79">
        <v>18</v>
      </c>
      <c r="E79" t="s">
        <v>307</v>
      </c>
      <c r="F79" t="s">
        <v>308</v>
      </c>
      <c r="G79" t="s">
        <v>309</v>
      </c>
      <c r="H79" t="s">
        <v>310</v>
      </c>
      <c r="I79" t="s">
        <v>375</v>
      </c>
    </row>
    <row r="80" spans="1:9" x14ac:dyDescent="0.2">
      <c r="A80" t="s">
        <v>144</v>
      </c>
      <c r="B80" t="s">
        <v>147</v>
      </c>
      <c r="C80" t="s">
        <v>27</v>
      </c>
      <c r="D80">
        <v>19</v>
      </c>
      <c r="E80" t="s">
        <v>312</v>
      </c>
      <c r="F80" t="s">
        <v>313</v>
      </c>
      <c r="G80" t="s">
        <v>314</v>
      </c>
      <c r="H80" t="s">
        <v>315</v>
      </c>
      <c r="I80" t="s">
        <v>376</v>
      </c>
    </row>
    <row r="81" spans="1:9" x14ac:dyDescent="0.2">
      <c r="A81" t="s">
        <v>144</v>
      </c>
      <c r="B81" t="s">
        <v>147</v>
      </c>
      <c r="C81" t="s">
        <v>27</v>
      </c>
      <c r="D81">
        <v>20</v>
      </c>
      <c r="E81" t="s">
        <v>318</v>
      </c>
      <c r="F81" t="s">
        <v>319</v>
      </c>
      <c r="G81" t="s">
        <v>320</v>
      </c>
      <c r="H81" t="s">
        <v>321</v>
      </c>
      <c r="I81" t="s">
        <v>377</v>
      </c>
    </row>
    <row r="82" spans="1:9" x14ac:dyDescent="0.2">
      <c r="A82" t="s">
        <v>144</v>
      </c>
      <c r="B82" t="s">
        <v>152</v>
      </c>
      <c r="C82" t="s">
        <v>151</v>
      </c>
      <c r="D82">
        <v>1</v>
      </c>
      <c r="E82" t="s">
        <v>205</v>
      </c>
      <c r="F82" t="s">
        <v>206</v>
      </c>
      <c r="G82" t="s">
        <v>207</v>
      </c>
      <c r="H82" t="s">
        <v>208</v>
      </c>
      <c r="I82" t="s">
        <v>378</v>
      </c>
    </row>
    <row r="83" spans="1:9" x14ac:dyDescent="0.2">
      <c r="A83" t="s">
        <v>144</v>
      </c>
      <c r="B83" t="s">
        <v>152</v>
      </c>
      <c r="C83" t="s">
        <v>151</v>
      </c>
      <c r="D83">
        <v>2</v>
      </c>
      <c r="E83" t="s">
        <v>211</v>
      </c>
      <c r="F83" t="s">
        <v>212</v>
      </c>
      <c r="G83" t="s">
        <v>213</v>
      </c>
      <c r="H83" t="s">
        <v>214</v>
      </c>
      <c r="I83" t="s">
        <v>379</v>
      </c>
    </row>
    <row r="84" spans="1:9" x14ac:dyDescent="0.2">
      <c r="A84" t="s">
        <v>144</v>
      </c>
      <c r="B84" t="s">
        <v>152</v>
      </c>
      <c r="C84" t="s">
        <v>151</v>
      </c>
      <c r="D84">
        <v>3</v>
      </c>
      <c r="E84" t="s">
        <v>217</v>
      </c>
      <c r="F84" t="s">
        <v>218</v>
      </c>
      <c r="G84" t="s">
        <v>219</v>
      </c>
      <c r="H84" t="s">
        <v>220</v>
      </c>
      <c r="I84" t="s">
        <v>380</v>
      </c>
    </row>
    <row r="85" spans="1:9" x14ac:dyDescent="0.2">
      <c r="A85" t="s">
        <v>144</v>
      </c>
      <c r="B85" t="s">
        <v>152</v>
      </c>
      <c r="C85" t="s">
        <v>151</v>
      </c>
      <c r="D85">
        <v>4</v>
      </c>
      <c r="E85" t="s">
        <v>223</v>
      </c>
      <c r="F85" t="s">
        <v>224</v>
      </c>
      <c r="G85" t="s">
        <v>225</v>
      </c>
      <c r="H85" t="s">
        <v>226</v>
      </c>
      <c r="I85" t="s">
        <v>226</v>
      </c>
    </row>
    <row r="86" spans="1:9" x14ac:dyDescent="0.2">
      <c r="A86" t="s">
        <v>144</v>
      </c>
      <c r="B86" t="s">
        <v>152</v>
      </c>
      <c r="C86" t="s">
        <v>151</v>
      </c>
      <c r="D86">
        <v>5</v>
      </c>
      <c r="E86" t="s">
        <v>229</v>
      </c>
      <c r="F86" t="s">
        <v>230</v>
      </c>
      <c r="G86" t="s">
        <v>231</v>
      </c>
      <c r="H86" t="s">
        <v>232</v>
      </c>
      <c r="I86" t="s">
        <v>381</v>
      </c>
    </row>
    <row r="87" spans="1:9" x14ac:dyDescent="0.2">
      <c r="A87" t="s">
        <v>144</v>
      </c>
      <c r="B87" t="s">
        <v>152</v>
      </c>
      <c r="C87" t="s">
        <v>151</v>
      </c>
      <c r="D87">
        <v>6</v>
      </c>
      <c r="E87" t="s">
        <v>235</v>
      </c>
      <c r="F87" t="s">
        <v>236</v>
      </c>
      <c r="G87" t="s">
        <v>237</v>
      </c>
      <c r="H87" t="s">
        <v>238</v>
      </c>
      <c r="I87" t="s">
        <v>382</v>
      </c>
    </row>
    <row r="88" spans="1:9" x14ac:dyDescent="0.2">
      <c r="A88" t="s">
        <v>144</v>
      </c>
      <c r="B88" t="s">
        <v>152</v>
      </c>
      <c r="C88" t="s">
        <v>151</v>
      </c>
      <c r="D88">
        <v>7</v>
      </c>
      <c r="E88" t="s">
        <v>241</v>
      </c>
      <c r="F88" t="s">
        <v>242</v>
      </c>
      <c r="G88" t="s">
        <v>243</v>
      </c>
      <c r="H88" t="s">
        <v>244</v>
      </c>
      <c r="I88" t="s">
        <v>383</v>
      </c>
    </row>
    <row r="89" spans="1:9" x14ac:dyDescent="0.2">
      <c r="A89" t="s">
        <v>144</v>
      </c>
      <c r="B89" t="s">
        <v>152</v>
      </c>
      <c r="C89" t="s">
        <v>151</v>
      </c>
      <c r="D89">
        <v>8</v>
      </c>
      <c r="E89" t="s">
        <v>247</v>
      </c>
      <c r="F89" t="s">
        <v>248</v>
      </c>
      <c r="G89" t="s">
        <v>249</v>
      </c>
      <c r="H89" t="s">
        <v>250</v>
      </c>
      <c r="I89" t="s">
        <v>250</v>
      </c>
    </row>
    <row r="90" spans="1:9" x14ac:dyDescent="0.2">
      <c r="A90" t="s">
        <v>144</v>
      </c>
      <c r="B90" t="s">
        <v>152</v>
      </c>
      <c r="C90" t="s">
        <v>151</v>
      </c>
      <c r="D90">
        <v>9</v>
      </c>
      <c r="E90" t="s">
        <v>253</v>
      </c>
      <c r="F90" t="s">
        <v>254</v>
      </c>
      <c r="G90" t="s">
        <v>255</v>
      </c>
      <c r="H90" t="s">
        <v>256</v>
      </c>
      <c r="I90" t="s">
        <v>384</v>
      </c>
    </row>
    <row r="91" spans="1:9" x14ac:dyDescent="0.2">
      <c r="A91" t="s">
        <v>144</v>
      </c>
      <c r="B91" t="s">
        <v>152</v>
      </c>
      <c r="C91" t="s">
        <v>151</v>
      </c>
      <c r="D91">
        <v>10</v>
      </c>
      <c r="E91" t="s">
        <v>259</v>
      </c>
      <c r="F91" t="s">
        <v>260</v>
      </c>
      <c r="G91" t="s">
        <v>261</v>
      </c>
      <c r="H91" t="s">
        <v>262</v>
      </c>
      <c r="I91" t="s">
        <v>385</v>
      </c>
    </row>
    <row r="92" spans="1:9" x14ac:dyDescent="0.2">
      <c r="A92" t="s">
        <v>144</v>
      </c>
      <c r="B92" t="s">
        <v>152</v>
      </c>
      <c r="C92" t="s">
        <v>151</v>
      </c>
      <c r="D92">
        <v>11</v>
      </c>
      <c r="E92" t="s">
        <v>265</v>
      </c>
      <c r="F92" t="s">
        <v>266</v>
      </c>
      <c r="G92" t="s">
        <v>267</v>
      </c>
      <c r="H92" t="s">
        <v>268</v>
      </c>
      <c r="I92" t="s">
        <v>386</v>
      </c>
    </row>
    <row r="93" spans="1:9" x14ac:dyDescent="0.2">
      <c r="A93" t="s">
        <v>144</v>
      </c>
      <c r="B93" t="s">
        <v>152</v>
      </c>
      <c r="C93" t="s">
        <v>151</v>
      </c>
      <c r="D93">
        <v>12</v>
      </c>
      <c r="E93" t="s">
        <v>271</v>
      </c>
      <c r="F93" t="s">
        <v>272</v>
      </c>
      <c r="G93" t="s">
        <v>273</v>
      </c>
      <c r="H93" t="s">
        <v>274</v>
      </c>
      <c r="I93" t="s">
        <v>274</v>
      </c>
    </row>
    <row r="94" spans="1:9" x14ac:dyDescent="0.2">
      <c r="A94" t="s">
        <v>144</v>
      </c>
      <c r="B94" t="s">
        <v>152</v>
      </c>
      <c r="C94" t="s">
        <v>151</v>
      </c>
      <c r="D94">
        <v>13</v>
      </c>
      <c r="E94" t="s">
        <v>277</v>
      </c>
      <c r="F94" t="s">
        <v>278</v>
      </c>
      <c r="G94" t="s">
        <v>279</v>
      </c>
      <c r="H94" t="s">
        <v>280</v>
      </c>
      <c r="I94" t="s">
        <v>387</v>
      </c>
    </row>
    <row r="95" spans="1:9" x14ac:dyDescent="0.2">
      <c r="A95" t="s">
        <v>144</v>
      </c>
      <c r="B95" t="s">
        <v>152</v>
      </c>
      <c r="C95" t="s">
        <v>151</v>
      </c>
      <c r="D95">
        <v>14</v>
      </c>
      <c r="E95" t="s">
        <v>283</v>
      </c>
      <c r="F95" t="s">
        <v>284</v>
      </c>
      <c r="G95" t="s">
        <v>285</v>
      </c>
      <c r="H95" t="s">
        <v>286</v>
      </c>
      <c r="I95" t="s">
        <v>388</v>
      </c>
    </row>
    <row r="96" spans="1:9" x14ac:dyDescent="0.2">
      <c r="A96" t="s">
        <v>144</v>
      </c>
      <c r="B96" t="s">
        <v>152</v>
      </c>
      <c r="C96" t="s">
        <v>151</v>
      </c>
      <c r="D96">
        <v>15</v>
      </c>
      <c r="E96" t="s">
        <v>289</v>
      </c>
      <c r="F96" t="s">
        <v>290</v>
      </c>
      <c r="G96" t="s">
        <v>291</v>
      </c>
      <c r="H96" t="s">
        <v>292</v>
      </c>
      <c r="I96" t="s">
        <v>389</v>
      </c>
    </row>
    <row r="97" spans="1:9" x14ac:dyDescent="0.2">
      <c r="A97" t="s">
        <v>144</v>
      </c>
      <c r="B97" t="s">
        <v>152</v>
      </c>
      <c r="C97" t="s">
        <v>151</v>
      </c>
      <c r="D97">
        <v>16</v>
      </c>
      <c r="E97" t="s">
        <v>295</v>
      </c>
      <c r="F97" t="s">
        <v>296</v>
      </c>
      <c r="G97" t="s">
        <v>297</v>
      </c>
      <c r="H97" t="s">
        <v>298</v>
      </c>
      <c r="I97" t="s">
        <v>298</v>
      </c>
    </row>
    <row r="98" spans="1:9" x14ac:dyDescent="0.2">
      <c r="A98" t="s">
        <v>144</v>
      </c>
      <c r="B98" t="s">
        <v>152</v>
      </c>
      <c r="C98" t="s">
        <v>151</v>
      </c>
      <c r="D98">
        <v>17</v>
      </c>
      <c r="E98" t="s">
        <v>301</v>
      </c>
      <c r="F98" t="s">
        <v>302</v>
      </c>
      <c r="G98" t="s">
        <v>303</v>
      </c>
      <c r="H98" t="s">
        <v>304</v>
      </c>
      <c r="I98" t="s">
        <v>304</v>
      </c>
    </row>
    <row r="99" spans="1:9" x14ac:dyDescent="0.2">
      <c r="A99" t="s">
        <v>144</v>
      </c>
      <c r="B99" t="s">
        <v>152</v>
      </c>
      <c r="C99" t="s">
        <v>151</v>
      </c>
      <c r="D99">
        <v>18</v>
      </c>
      <c r="E99" t="s">
        <v>307</v>
      </c>
      <c r="F99" t="s">
        <v>308</v>
      </c>
      <c r="G99" t="s">
        <v>309</v>
      </c>
      <c r="H99" t="s">
        <v>310</v>
      </c>
      <c r="I99" t="s">
        <v>390</v>
      </c>
    </row>
    <row r="100" spans="1:9" x14ac:dyDescent="0.2">
      <c r="A100" t="s">
        <v>144</v>
      </c>
      <c r="B100" t="s">
        <v>152</v>
      </c>
      <c r="C100" t="s">
        <v>151</v>
      </c>
      <c r="D100">
        <v>19</v>
      </c>
      <c r="E100" t="s">
        <v>312</v>
      </c>
      <c r="F100" t="s">
        <v>313</v>
      </c>
      <c r="G100" t="s">
        <v>314</v>
      </c>
      <c r="H100" t="s">
        <v>315</v>
      </c>
      <c r="I100" t="s">
        <v>391</v>
      </c>
    </row>
    <row r="101" spans="1:9" x14ac:dyDescent="0.2">
      <c r="A101" t="s">
        <v>144</v>
      </c>
      <c r="B101" t="s">
        <v>152</v>
      </c>
      <c r="C101" t="s">
        <v>151</v>
      </c>
      <c r="D101">
        <v>20</v>
      </c>
      <c r="E101" t="s">
        <v>318</v>
      </c>
      <c r="F101" t="s">
        <v>319</v>
      </c>
      <c r="G101" t="s">
        <v>320</v>
      </c>
      <c r="H101" t="s">
        <v>321</v>
      </c>
      <c r="I101" t="s">
        <v>392</v>
      </c>
    </row>
    <row r="102" spans="1:9" x14ac:dyDescent="0.2">
      <c r="A102" t="s">
        <v>156</v>
      </c>
      <c r="B102" t="s">
        <v>160</v>
      </c>
      <c r="C102" t="s">
        <v>159</v>
      </c>
      <c r="D102">
        <v>1</v>
      </c>
      <c r="E102" t="s">
        <v>205</v>
      </c>
      <c r="F102" t="s">
        <v>206</v>
      </c>
      <c r="G102" t="s">
        <v>207</v>
      </c>
      <c r="H102" t="s">
        <v>208</v>
      </c>
      <c r="I102" t="s">
        <v>393</v>
      </c>
    </row>
    <row r="103" spans="1:9" x14ac:dyDescent="0.2">
      <c r="A103" t="s">
        <v>156</v>
      </c>
      <c r="B103" t="s">
        <v>160</v>
      </c>
      <c r="C103" t="s">
        <v>159</v>
      </c>
      <c r="D103">
        <v>2</v>
      </c>
      <c r="E103" t="s">
        <v>211</v>
      </c>
      <c r="F103" t="s">
        <v>212</v>
      </c>
      <c r="G103" t="s">
        <v>213</v>
      </c>
      <c r="H103" t="s">
        <v>214</v>
      </c>
      <c r="I103" t="s">
        <v>394</v>
      </c>
    </row>
    <row r="104" spans="1:9" x14ac:dyDescent="0.2">
      <c r="A104" t="s">
        <v>156</v>
      </c>
      <c r="B104" t="s">
        <v>160</v>
      </c>
      <c r="C104" t="s">
        <v>159</v>
      </c>
      <c r="D104">
        <v>3</v>
      </c>
      <c r="E104" t="s">
        <v>217</v>
      </c>
      <c r="F104" t="s">
        <v>218</v>
      </c>
      <c r="G104" t="s">
        <v>219</v>
      </c>
      <c r="H104" t="s">
        <v>220</v>
      </c>
      <c r="I104" t="s">
        <v>395</v>
      </c>
    </row>
    <row r="105" spans="1:9" x14ac:dyDescent="0.2">
      <c r="A105" t="s">
        <v>156</v>
      </c>
      <c r="B105" t="s">
        <v>160</v>
      </c>
      <c r="C105" t="s">
        <v>159</v>
      </c>
      <c r="D105">
        <v>4</v>
      </c>
      <c r="E105" t="s">
        <v>223</v>
      </c>
      <c r="F105" t="s">
        <v>224</v>
      </c>
      <c r="G105" t="s">
        <v>225</v>
      </c>
      <c r="H105" t="s">
        <v>226</v>
      </c>
      <c r="I105" t="s">
        <v>396</v>
      </c>
    </row>
    <row r="106" spans="1:9" x14ac:dyDescent="0.2">
      <c r="A106" t="s">
        <v>156</v>
      </c>
      <c r="B106" t="s">
        <v>160</v>
      </c>
      <c r="C106" t="s">
        <v>159</v>
      </c>
      <c r="D106">
        <v>5</v>
      </c>
      <c r="E106" t="s">
        <v>229</v>
      </c>
      <c r="F106" t="s">
        <v>230</v>
      </c>
      <c r="G106" t="s">
        <v>231</v>
      </c>
      <c r="H106" t="s">
        <v>232</v>
      </c>
      <c r="I106" t="s">
        <v>397</v>
      </c>
    </row>
    <row r="107" spans="1:9" x14ac:dyDescent="0.2">
      <c r="A107" t="s">
        <v>156</v>
      </c>
      <c r="B107" t="s">
        <v>160</v>
      </c>
      <c r="C107" t="s">
        <v>159</v>
      </c>
      <c r="D107">
        <v>6</v>
      </c>
      <c r="E107" t="s">
        <v>235</v>
      </c>
      <c r="F107" t="s">
        <v>236</v>
      </c>
      <c r="G107" t="s">
        <v>237</v>
      </c>
      <c r="H107" t="s">
        <v>238</v>
      </c>
      <c r="I107" t="s">
        <v>398</v>
      </c>
    </row>
    <row r="108" spans="1:9" x14ac:dyDescent="0.2">
      <c r="A108" t="s">
        <v>156</v>
      </c>
      <c r="B108" t="s">
        <v>160</v>
      </c>
      <c r="C108" t="s">
        <v>159</v>
      </c>
      <c r="D108">
        <v>7</v>
      </c>
      <c r="E108" t="s">
        <v>241</v>
      </c>
      <c r="F108" t="s">
        <v>242</v>
      </c>
      <c r="G108" t="s">
        <v>243</v>
      </c>
      <c r="H108" t="s">
        <v>244</v>
      </c>
      <c r="I108" t="s">
        <v>399</v>
      </c>
    </row>
    <row r="109" spans="1:9" x14ac:dyDescent="0.2">
      <c r="A109" t="s">
        <v>156</v>
      </c>
      <c r="B109" t="s">
        <v>160</v>
      </c>
      <c r="C109" t="s">
        <v>159</v>
      </c>
      <c r="D109">
        <v>8</v>
      </c>
      <c r="E109" t="s">
        <v>247</v>
      </c>
      <c r="F109" t="s">
        <v>248</v>
      </c>
      <c r="G109" t="s">
        <v>249</v>
      </c>
      <c r="H109" t="s">
        <v>250</v>
      </c>
      <c r="I109" t="s">
        <v>400</v>
      </c>
    </row>
    <row r="110" spans="1:9" x14ac:dyDescent="0.2">
      <c r="A110" t="s">
        <v>156</v>
      </c>
      <c r="B110" t="s">
        <v>160</v>
      </c>
      <c r="C110" t="s">
        <v>159</v>
      </c>
      <c r="D110">
        <v>9</v>
      </c>
      <c r="E110" t="s">
        <v>253</v>
      </c>
      <c r="F110" t="s">
        <v>254</v>
      </c>
      <c r="G110" t="s">
        <v>255</v>
      </c>
      <c r="H110" t="s">
        <v>256</v>
      </c>
      <c r="I110" t="s">
        <v>401</v>
      </c>
    </row>
    <row r="111" spans="1:9" x14ac:dyDescent="0.2">
      <c r="A111" t="s">
        <v>156</v>
      </c>
      <c r="B111" t="s">
        <v>160</v>
      </c>
      <c r="C111" t="s">
        <v>159</v>
      </c>
      <c r="D111">
        <v>10</v>
      </c>
      <c r="E111" t="s">
        <v>259</v>
      </c>
      <c r="F111" t="s">
        <v>260</v>
      </c>
      <c r="G111" t="s">
        <v>261</v>
      </c>
      <c r="H111" t="s">
        <v>262</v>
      </c>
      <c r="I111" t="s">
        <v>402</v>
      </c>
    </row>
    <row r="112" spans="1:9" x14ac:dyDescent="0.2">
      <c r="A112" t="s">
        <v>156</v>
      </c>
      <c r="B112" t="s">
        <v>160</v>
      </c>
      <c r="C112" t="s">
        <v>159</v>
      </c>
      <c r="D112">
        <v>11</v>
      </c>
      <c r="E112" t="s">
        <v>265</v>
      </c>
      <c r="F112" t="s">
        <v>266</v>
      </c>
      <c r="G112" t="s">
        <v>267</v>
      </c>
      <c r="H112" t="s">
        <v>268</v>
      </c>
      <c r="I112" t="s">
        <v>403</v>
      </c>
    </row>
    <row r="113" spans="1:9" x14ac:dyDescent="0.2">
      <c r="A113" t="s">
        <v>156</v>
      </c>
      <c r="B113" t="s">
        <v>160</v>
      </c>
      <c r="C113" t="s">
        <v>159</v>
      </c>
      <c r="D113">
        <v>12</v>
      </c>
      <c r="E113" t="s">
        <v>271</v>
      </c>
      <c r="F113" t="s">
        <v>272</v>
      </c>
      <c r="G113" t="s">
        <v>273</v>
      </c>
      <c r="H113" t="s">
        <v>274</v>
      </c>
      <c r="I113" t="s">
        <v>404</v>
      </c>
    </row>
    <row r="114" spans="1:9" x14ac:dyDescent="0.2">
      <c r="A114" t="s">
        <v>156</v>
      </c>
      <c r="B114" t="s">
        <v>160</v>
      </c>
      <c r="C114" t="s">
        <v>159</v>
      </c>
      <c r="D114">
        <v>13</v>
      </c>
      <c r="E114" t="s">
        <v>277</v>
      </c>
      <c r="F114" t="s">
        <v>278</v>
      </c>
      <c r="G114" t="s">
        <v>279</v>
      </c>
      <c r="H114" t="s">
        <v>280</v>
      </c>
      <c r="I114" t="s">
        <v>405</v>
      </c>
    </row>
    <row r="115" spans="1:9" x14ac:dyDescent="0.2">
      <c r="A115" t="s">
        <v>156</v>
      </c>
      <c r="B115" t="s">
        <v>160</v>
      </c>
      <c r="C115" t="s">
        <v>159</v>
      </c>
      <c r="D115">
        <v>14</v>
      </c>
      <c r="E115" t="s">
        <v>283</v>
      </c>
      <c r="F115" t="s">
        <v>284</v>
      </c>
      <c r="G115" t="s">
        <v>285</v>
      </c>
      <c r="H115" t="s">
        <v>286</v>
      </c>
      <c r="I115" t="s">
        <v>406</v>
      </c>
    </row>
    <row r="116" spans="1:9" x14ac:dyDescent="0.2">
      <c r="A116" t="s">
        <v>156</v>
      </c>
      <c r="B116" t="s">
        <v>160</v>
      </c>
      <c r="C116" t="s">
        <v>159</v>
      </c>
      <c r="D116">
        <v>15</v>
      </c>
      <c r="E116" t="s">
        <v>289</v>
      </c>
      <c r="F116" t="s">
        <v>290</v>
      </c>
      <c r="G116" t="s">
        <v>291</v>
      </c>
      <c r="H116" t="s">
        <v>292</v>
      </c>
      <c r="I116" t="s">
        <v>407</v>
      </c>
    </row>
    <row r="117" spans="1:9" x14ac:dyDescent="0.2">
      <c r="A117" t="s">
        <v>156</v>
      </c>
      <c r="B117" t="s">
        <v>160</v>
      </c>
      <c r="C117" t="s">
        <v>159</v>
      </c>
      <c r="D117">
        <v>16</v>
      </c>
      <c r="E117" t="s">
        <v>295</v>
      </c>
      <c r="F117" t="s">
        <v>296</v>
      </c>
      <c r="G117" t="s">
        <v>297</v>
      </c>
      <c r="H117" t="s">
        <v>298</v>
      </c>
      <c r="I117" t="s">
        <v>408</v>
      </c>
    </row>
    <row r="118" spans="1:9" x14ac:dyDescent="0.2">
      <c r="A118" t="s">
        <v>156</v>
      </c>
      <c r="B118" t="s">
        <v>160</v>
      </c>
      <c r="C118" t="s">
        <v>159</v>
      </c>
      <c r="D118">
        <v>17</v>
      </c>
      <c r="E118" t="s">
        <v>301</v>
      </c>
      <c r="F118" t="s">
        <v>302</v>
      </c>
      <c r="G118" t="s">
        <v>303</v>
      </c>
      <c r="H118" t="s">
        <v>304</v>
      </c>
      <c r="I118" t="s">
        <v>409</v>
      </c>
    </row>
    <row r="119" spans="1:9" x14ac:dyDescent="0.2">
      <c r="A119" t="s">
        <v>156</v>
      </c>
      <c r="B119" t="s">
        <v>160</v>
      </c>
      <c r="C119" t="s">
        <v>159</v>
      </c>
      <c r="D119">
        <v>18</v>
      </c>
      <c r="E119" t="s">
        <v>307</v>
      </c>
      <c r="F119" t="s">
        <v>308</v>
      </c>
      <c r="G119" t="s">
        <v>309</v>
      </c>
      <c r="H119" t="s">
        <v>310</v>
      </c>
      <c r="I119" t="s">
        <v>410</v>
      </c>
    </row>
    <row r="120" spans="1:9" x14ac:dyDescent="0.2">
      <c r="A120" t="s">
        <v>156</v>
      </c>
      <c r="B120" t="s">
        <v>160</v>
      </c>
      <c r="C120" t="s">
        <v>159</v>
      </c>
      <c r="D120">
        <v>19</v>
      </c>
      <c r="E120" t="s">
        <v>312</v>
      </c>
      <c r="F120" t="s">
        <v>313</v>
      </c>
      <c r="G120" t="s">
        <v>314</v>
      </c>
      <c r="H120" t="s">
        <v>315</v>
      </c>
      <c r="I120" t="s">
        <v>411</v>
      </c>
    </row>
    <row r="121" spans="1:9" x14ac:dyDescent="0.2">
      <c r="A121" t="s">
        <v>156</v>
      </c>
      <c r="B121" t="s">
        <v>160</v>
      </c>
      <c r="C121" t="s">
        <v>159</v>
      </c>
      <c r="D121">
        <v>20</v>
      </c>
      <c r="E121" t="s">
        <v>318</v>
      </c>
      <c r="F121" t="s">
        <v>319</v>
      </c>
      <c r="G121" t="s">
        <v>320</v>
      </c>
      <c r="H121" t="s">
        <v>321</v>
      </c>
      <c r="I121" t="s">
        <v>412</v>
      </c>
    </row>
    <row r="122" spans="1:9" x14ac:dyDescent="0.2">
      <c r="A122" t="s">
        <v>156</v>
      </c>
      <c r="B122" t="s">
        <v>165</v>
      </c>
      <c r="C122" t="s">
        <v>164</v>
      </c>
      <c r="D122">
        <v>1</v>
      </c>
      <c r="E122" t="s">
        <v>205</v>
      </c>
      <c r="F122" t="s">
        <v>206</v>
      </c>
      <c r="G122" t="s">
        <v>207</v>
      </c>
      <c r="H122" t="s">
        <v>208</v>
      </c>
      <c r="I122" t="s">
        <v>413</v>
      </c>
    </row>
    <row r="123" spans="1:9" x14ac:dyDescent="0.2">
      <c r="A123" t="s">
        <v>156</v>
      </c>
      <c r="B123" t="s">
        <v>165</v>
      </c>
      <c r="C123" t="s">
        <v>164</v>
      </c>
      <c r="D123">
        <v>2</v>
      </c>
      <c r="E123" t="s">
        <v>211</v>
      </c>
      <c r="F123" t="s">
        <v>212</v>
      </c>
      <c r="G123" t="s">
        <v>213</v>
      </c>
      <c r="H123" t="s">
        <v>214</v>
      </c>
      <c r="I123" t="s">
        <v>414</v>
      </c>
    </row>
    <row r="124" spans="1:9" x14ac:dyDescent="0.2">
      <c r="A124" t="s">
        <v>156</v>
      </c>
      <c r="B124" t="s">
        <v>165</v>
      </c>
      <c r="C124" t="s">
        <v>164</v>
      </c>
      <c r="D124">
        <v>3</v>
      </c>
      <c r="E124" t="s">
        <v>217</v>
      </c>
      <c r="F124" t="s">
        <v>218</v>
      </c>
      <c r="G124" t="s">
        <v>219</v>
      </c>
      <c r="H124" t="s">
        <v>220</v>
      </c>
      <c r="I124" t="s">
        <v>415</v>
      </c>
    </row>
    <row r="125" spans="1:9" x14ac:dyDescent="0.2">
      <c r="A125" t="s">
        <v>156</v>
      </c>
      <c r="B125" t="s">
        <v>165</v>
      </c>
      <c r="C125" t="s">
        <v>164</v>
      </c>
      <c r="D125">
        <v>4</v>
      </c>
      <c r="E125" t="s">
        <v>223</v>
      </c>
      <c r="F125" t="s">
        <v>224</v>
      </c>
      <c r="G125" t="s">
        <v>225</v>
      </c>
      <c r="H125" t="s">
        <v>226</v>
      </c>
      <c r="I125" t="s">
        <v>416</v>
      </c>
    </row>
    <row r="126" spans="1:9" x14ac:dyDescent="0.2">
      <c r="A126" t="s">
        <v>156</v>
      </c>
      <c r="B126" t="s">
        <v>165</v>
      </c>
      <c r="C126" t="s">
        <v>164</v>
      </c>
      <c r="D126">
        <v>5</v>
      </c>
      <c r="E126" t="s">
        <v>229</v>
      </c>
      <c r="F126" t="s">
        <v>230</v>
      </c>
      <c r="G126" t="s">
        <v>231</v>
      </c>
      <c r="H126" t="s">
        <v>232</v>
      </c>
      <c r="I126" t="s">
        <v>417</v>
      </c>
    </row>
    <row r="127" spans="1:9" x14ac:dyDescent="0.2">
      <c r="A127" t="s">
        <v>156</v>
      </c>
      <c r="B127" t="s">
        <v>165</v>
      </c>
      <c r="C127" t="s">
        <v>164</v>
      </c>
      <c r="D127">
        <v>6</v>
      </c>
      <c r="E127" t="s">
        <v>235</v>
      </c>
      <c r="F127" t="s">
        <v>236</v>
      </c>
      <c r="G127" t="s">
        <v>237</v>
      </c>
      <c r="H127" t="s">
        <v>238</v>
      </c>
      <c r="I127" t="s">
        <v>418</v>
      </c>
    </row>
    <row r="128" spans="1:9" x14ac:dyDescent="0.2">
      <c r="A128" t="s">
        <v>156</v>
      </c>
      <c r="B128" t="s">
        <v>165</v>
      </c>
      <c r="C128" t="s">
        <v>164</v>
      </c>
      <c r="D128">
        <v>7</v>
      </c>
      <c r="E128" t="s">
        <v>241</v>
      </c>
      <c r="F128" t="s">
        <v>242</v>
      </c>
      <c r="G128" t="s">
        <v>243</v>
      </c>
      <c r="H128" t="s">
        <v>244</v>
      </c>
      <c r="I128" t="s">
        <v>419</v>
      </c>
    </row>
    <row r="129" spans="1:9" x14ac:dyDescent="0.2">
      <c r="A129" t="s">
        <v>156</v>
      </c>
      <c r="B129" t="s">
        <v>165</v>
      </c>
      <c r="C129" t="s">
        <v>164</v>
      </c>
      <c r="D129">
        <v>8</v>
      </c>
      <c r="E129" t="s">
        <v>247</v>
      </c>
      <c r="F129" t="s">
        <v>248</v>
      </c>
      <c r="G129" t="s">
        <v>249</v>
      </c>
      <c r="H129" t="s">
        <v>250</v>
      </c>
      <c r="I129" t="s">
        <v>420</v>
      </c>
    </row>
    <row r="130" spans="1:9" x14ac:dyDescent="0.2">
      <c r="A130" t="s">
        <v>156</v>
      </c>
      <c r="B130" t="s">
        <v>165</v>
      </c>
      <c r="C130" t="s">
        <v>164</v>
      </c>
      <c r="D130">
        <v>9</v>
      </c>
      <c r="E130" t="s">
        <v>253</v>
      </c>
      <c r="F130" t="s">
        <v>254</v>
      </c>
      <c r="G130" t="s">
        <v>255</v>
      </c>
      <c r="H130" t="s">
        <v>256</v>
      </c>
      <c r="I130" t="s">
        <v>421</v>
      </c>
    </row>
    <row r="131" spans="1:9" x14ac:dyDescent="0.2">
      <c r="A131" t="s">
        <v>156</v>
      </c>
      <c r="B131" t="s">
        <v>165</v>
      </c>
      <c r="C131" t="s">
        <v>164</v>
      </c>
      <c r="D131">
        <v>10</v>
      </c>
      <c r="E131" t="s">
        <v>259</v>
      </c>
      <c r="F131" t="s">
        <v>260</v>
      </c>
      <c r="G131" t="s">
        <v>261</v>
      </c>
      <c r="H131" t="s">
        <v>262</v>
      </c>
      <c r="I131" t="s">
        <v>422</v>
      </c>
    </row>
    <row r="132" spans="1:9" x14ac:dyDescent="0.2">
      <c r="A132" t="s">
        <v>156</v>
      </c>
      <c r="B132" t="s">
        <v>165</v>
      </c>
      <c r="C132" t="s">
        <v>164</v>
      </c>
      <c r="D132">
        <v>11</v>
      </c>
      <c r="E132" t="s">
        <v>265</v>
      </c>
      <c r="F132" t="s">
        <v>266</v>
      </c>
      <c r="G132" t="s">
        <v>267</v>
      </c>
      <c r="H132" t="s">
        <v>268</v>
      </c>
      <c r="I132" t="s">
        <v>423</v>
      </c>
    </row>
    <row r="133" spans="1:9" x14ac:dyDescent="0.2">
      <c r="A133" t="s">
        <v>156</v>
      </c>
      <c r="B133" t="s">
        <v>165</v>
      </c>
      <c r="C133" t="s">
        <v>164</v>
      </c>
      <c r="D133">
        <v>12</v>
      </c>
      <c r="E133" t="s">
        <v>271</v>
      </c>
      <c r="F133" t="s">
        <v>272</v>
      </c>
      <c r="G133" t="s">
        <v>273</v>
      </c>
      <c r="H133" t="s">
        <v>274</v>
      </c>
      <c r="I133" t="s">
        <v>424</v>
      </c>
    </row>
    <row r="134" spans="1:9" x14ac:dyDescent="0.2">
      <c r="A134" t="s">
        <v>156</v>
      </c>
      <c r="B134" t="s">
        <v>165</v>
      </c>
      <c r="C134" t="s">
        <v>164</v>
      </c>
      <c r="D134">
        <v>13</v>
      </c>
      <c r="E134" t="s">
        <v>277</v>
      </c>
      <c r="F134" t="s">
        <v>278</v>
      </c>
      <c r="G134" t="s">
        <v>279</v>
      </c>
      <c r="H134" t="s">
        <v>280</v>
      </c>
      <c r="I134" t="s">
        <v>425</v>
      </c>
    </row>
    <row r="135" spans="1:9" x14ac:dyDescent="0.2">
      <c r="A135" t="s">
        <v>156</v>
      </c>
      <c r="B135" t="s">
        <v>165</v>
      </c>
      <c r="C135" t="s">
        <v>164</v>
      </c>
      <c r="D135">
        <v>14</v>
      </c>
      <c r="E135" t="s">
        <v>283</v>
      </c>
      <c r="F135" t="s">
        <v>284</v>
      </c>
      <c r="G135" t="s">
        <v>285</v>
      </c>
      <c r="H135" t="s">
        <v>286</v>
      </c>
      <c r="I135" t="s">
        <v>426</v>
      </c>
    </row>
    <row r="136" spans="1:9" x14ac:dyDescent="0.2">
      <c r="A136" t="s">
        <v>156</v>
      </c>
      <c r="B136" t="s">
        <v>165</v>
      </c>
      <c r="C136" t="s">
        <v>164</v>
      </c>
      <c r="D136">
        <v>15</v>
      </c>
      <c r="E136" t="s">
        <v>289</v>
      </c>
      <c r="F136" t="s">
        <v>290</v>
      </c>
      <c r="G136" t="s">
        <v>291</v>
      </c>
      <c r="H136" t="s">
        <v>292</v>
      </c>
      <c r="I136" t="s">
        <v>427</v>
      </c>
    </row>
    <row r="137" spans="1:9" x14ac:dyDescent="0.2">
      <c r="A137" t="s">
        <v>156</v>
      </c>
      <c r="B137" t="s">
        <v>165</v>
      </c>
      <c r="C137" t="s">
        <v>164</v>
      </c>
      <c r="D137">
        <v>16</v>
      </c>
      <c r="E137" t="s">
        <v>295</v>
      </c>
      <c r="F137" t="s">
        <v>296</v>
      </c>
      <c r="G137" t="s">
        <v>297</v>
      </c>
      <c r="H137" t="s">
        <v>298</v>
      </c>
      <c r="I137" t="s">
        <v>428</v>
      </c>
    </row>
    <row r="138" spans="1:9" x14ac:dyDescent="0.2">
      <c r="A138" t="s">
        <v>156</v>
      </c>
      <c r="B138" t="s">
        <v>165</v>
      </c>
      <c r="C138" t="s">
        <v>164</v>
      </c>
      <c r="D138">
        <v>17</v>
      </c>
      <c r="E138" t="s">
        <v>301</v>
      </c>
      <c r="F138" t="s">
        <v>302</v>
      </c>
      <c r="G138" t="s">
        <v>303</v>
      </c>
      <c r="H138" t="s">
        <v>304</v>
      </c>
      <c r="I138" t="s">
        <v>429</v>
      </c>
    </row>
    <row r="139" spans="1:9" x14ac:dyDescent="0.2">
      <c r="A139" t="s">
        <v>156</v>
      </c>
      <c r="B139" t="s">
        <v>165</v>
      </c>
      <c r="C139" t="s">
        <v>164</v>
      </c>
      <c r="D139">
        <v>18</v>
      </c>
      <c r="E139" t="s">
        <v>307</v>
      </c>
      <c r="F139" t="s">
        <v>308</v>
      </c>
      <c r="G139" t="s">
        <v>309</v>
      </c>
      <c r="H139" t="s">
        <v>310</v>
      </c>
      <c r="I139" t="s">
        <v>430</v>
      </c>
    </row>
    <row r="140" spans="1:9" x14ac:dyDescent="0.2">
      <c r="A140" t="s">
        <v>156</v>
      </c>
      <c r="B140" t="s">
        <v>165</v>
      </c>
      <c r="C140" t="s">
        <v>164</v>
      </c>
      <c r="D140">
        <v>19</v>
      </c>
      <c r="E140" t="s">
        <v>312</v>
      </c>
      <c r="F140" t="s">
        <v>313</v>
      </c>
      <c r="G140" t="s">
        <v>314</v>
      </c>
      <c r="H140" t="s">
        <v>315</v>
      </c>
      <c r="I140" t="s">
        <v>431</v>
      </c>
    </row>
    <row r="141" spans="1:9" x14ac:dyDescent="0.2">
      <c r="A141" t="s">
        <v>156</v>
      </c>
      <c r="B141" t="s">
        <v>165</v>
      </c>
      <c r="C141" t="s">
        <v>164</v>
      </c>
      <c r="D141">
        <v>20</v>
      </c>
      <c r="E141" t="s">
        <v>318</v>
      </c>
      <c r="F141" t="s">
        <v>319</v>
      </c>
      <c r="G141" t="s">
        <v>320</v>
      </c>
      <c r="H141" t="s">
        <v>321</v>
      </c>
      <c r="I141" t="s">
        <v>432</v>
      </c>
    </row>
    <row r="142" spans="1:9" x14ac:dyDescent="0.2">
      <c r="A142" t="s">
        <v>170</v>
      </c>
      <c r="B142" t="s">
        <v>196</v>
      </c>
      <c r="C142" t="s">
        <v>173</v>
      </c>
      <c r="D142">
        <v>1</v>
      </c>
      <c r="E142" t="s">
        <v>205</v>
      </c>
      <c r="F142" t="s">
        <v>206</v>
      </c>
      <c r="G142" t="s">
        <v>207</v>
      </c>
      <c r="H142" t="s">
        <v>208</v>
      </c>
      <c r="I142" t="s">
        <v>433</v>
      </c>
    </row>
    <row r="143" spans="1:9" x14ac:dyDescent="0.2">
      <c r="A143" t="s">
        <v>170</v>
      </c>
      <c r="B143" t="s">
        <v>196</v>
      </c>
      <c r="C143" t="s">
        <v>173</v>
      </c>
      <c r="D143">
        <v>2</v>
      </c>
      <c r="E143" t="s">
        <v>211</v>
      </c>
      <c r="F143" t="s">
        <v>212</v>
      </c>
      <c r="G143" t="s">
        <v>213</v>
      </c>
      <c r="H143" t="s">
        <v>214</v>
      </c>
      <c r="I143" t="s">
        <v>434</v>
      </c>
    </row>
    <row r="144" spans="1:9" x14ac:dyDescent="0.2">
      <c r="A144" t="s">
        <v>170</v>
      </c>
      <c r="B144" t="s">
        <v>196</v>
      </c>
      <c r="C144" t="s">
        <v>173</v>
      </c>
      <c r="D144">
        <v>3</v>
      </c>
      <c r="E144" t="s">
        <v>217</v>
      </c>
      <c r="F144" t="s">
        <v>218</v>
      </c>
      <c r="G144" t="s">
        <v>219</v>
      </c>
      <c r="H144" t="s">
        <v>220</v>
      </c>
      <c r="I144" t="s">
        <v>435</v>
      </c>
    </row>
    <row r="145" spans="1:9" x14ac:dyDescent="0.2">
      <c r="A145" t="s">
        <v>170</v>
      </c>
      <c r="B145" t="s">
        <v>196</v>
      </c>
      <c r="C145" t="s">
        <v>173</v>
      </c>
      <c r="D145">
        <v>4</v>
      </c>
      <c r="E145" t="s">
        <v>223</v>
      </c>
      <c r="F145" t="s">
        <v>224</v>
      </c>
      <c r="G145" t="s">
        <v>225</v>
      </c>
      <c r="H145" t="s">
        <v>226</v>
      </c>
      <c r="I145" t="s">
        <v>436</v>
      </c>
    </row>
    <row r="146" spans="1:9" x14ac:dyDescent="0.2">
      <c r="A146" t="s">
        <v>170</v>
      </c>
      <c r="B146" t="s">
        <v>196</v>
      </c>
      <c r="C146" t="s">
        <v>173</v>
      </c>
      <c r="D146">
        <v>5</v>
      </c>
      <c r="E146" t="s">
        <v>229</v>
      </c>
      <c r="F146" t="s">
        <v>230</v>
      </c>
      <c r="G146" t="s">
        <v>231</v>
      </c>
      <c r="H146" t="s">
        <v>232</v>
      </c>
      <c r="I146" t="s">
        <v>437</v>
      </c>
    </row>
    <row r="147" spans="1:9" x14ac:dyDescent="0.2">
      <c r="A147" t="s">
        <v>170</v>
      </c>
      <c r="B147" t="s">
        <v>196</v>
      </c>
      <c r="C147" t="s">
        <v>173</v>
      </c>
      <c r="D147">
        <v>6</v>
      </c>
      <c r="E147" t="s">
        <v>235</v>
      </c>
      <c r="F147" t="s">
        <v>236</v>
      </c>
      <c r="G147" t="s">
        <v>237</v>
      </c>
      <c r="H147" t="s">
        <v>238</v>
      </c>
      <c r="I147" t="s">
        <v>438</v>
      </c>
    </row>
    <row r="148" spans="1:9" x14ac:dyDescent="0.2">
      <c r="A148" t="s">
        <v>170</v>
      </c>
      <c r="B148" t="s">
        <v>196</v>
      </c>
      <c r="C148" t="s">
        <v>173</v>
      </c>
      <c r="D148">
        <v>7</v>
      </c>
      <c r="E148" t="s">
        <v>241</v>
      </c>
      <c r="F148" t="s">
        <v>242</v>
      </c>
      <c r="G148" t="s">
        <v>243</v>
      </c>
      <c r="H148" t="s">
        <v>244</v>
      </c>
      <c r="I148" t="s">
        <v>439</v>
      </c>
    </row>
    <row r="149" spans="1:9" x14ac:dyDescent="0.2">
      <c r="A149" t="s">
        <v>170</v>
      </c>
      <c r="B149" t="s">
        <v>196</v>
      </c>
      <c r="C149" t="s">
        <v>173</v>
      </c>
      <c r="D149">
        <v>8</v>
      </c>
      <c r="E149" t="s">
        <v>247</v>
      </c>
      <c r="F149" t="s">
        <v>248</v>
      </c>
      <c r="G149" t="s">
        <v>249</v>
      </c>
      <c r="H149" t="s">
        <v>250</v>
      </c>
      <c r="I149" t="s">
        <v>440</v>
      </c>
    </row>
    <row r="150" spans="1:9" x14ac:dyDescent="0.2">
      <c r="A150" t="s">
        <v>170</v>
      </c>
      <c r="B150" t="s">
        <v>196</v>
      </c>
      <c r="C150" t="s">
        <v>173</v>
      </c>
      <c r="D150">
        <v>9</v>
      </c>
      <c r="E150" t="s">
        <v>253</v>
      </c>
      <c r="F150" t="s">
        <v>254</v>
      </c>
      <c r="G150" t="s">
        <v>255</v>
      </c>
      <c r="H150" t="s">
        <v>256</v>
      </c>
      <c r="I150" t="s">
        <v>441</v>
      </c>
    </row>
    <row r="151" spans="1:9" x14ac:dyDescent="0.2">
      <c r="A151" t="s">
        <v>170</v>
      </c>
      <c r="B151" t="s">
        <v>196</v>
      </c>
      <c r="C151" t="s">
        <v>173</v>
      </c>
      <c r="D151">
        <v>10</v>
      </c>
      <c r="E151" t="s">
        <v>259</v>
      </c>
      <c r="F151" t="s">
        <v>260</v>
      </c>
      <c r="G151" t="s">
        <v>261</v>
      </c>
      <c r="H151" t="s">
        <v>262</v>
      </c>
      <c r="I151" t="s">
        <v>442</v>
      </c>
    </row>
    <row r="152" spans="1:9" x14ac:dyDescent="0.2">
      <c r="A152" t="s">
        <v>170</v>
      </c>
      <c r="B152" t="s">
        <v>196</v>
      </c>
      <c r="C152" t="s">
        <v>173</v>
      </c>
      <c r="D152">
        <v>11</v>
      </c>
      <c r="E152" t="s">
        <v>265</v>
      </c>
      <c r="F152" t="s">
        <v>266</v>
      </c>
      <c r="G152" t="s">
        <v>267</v>
      </c>
      <c r="H152" t="s">
        <v>268</v>
      </c>
      <c r="I152" t="s">
        <v>443</v>
      </c>
    </row>
    <row r="153" spans="1:9" x14ac:dyDescent="0.2">
      <c r="A153" t="s">
        <v>170</v>
      </c>
      <c r="B153" t="s">
        <v>196</v>
      </c>
      <c r="C153" t="s">
        <v>173</v>
      </c>
      <c r="D153">
        <v>12</v>
      </c>
      <c r="E153" t="s">
        <v>271</v>
      </c>
      <c r="F153" t="s">
        <v>272</v>
      </c>
      <c r="G153" t="s">
        <v>273</v>
      </c>
      <c r="H153" t="s">
        <v>274</v>
      </c>
      <c r="I153" t="s">
        <v>444</v>
      </c>
    </row>
    <row r="154" spans="1:9" x14ac:dyDescent="0.2">
      <c r="A154" t="s">
        <v>170</v>
      </c>
      <c r="B154" t="s">
        <v>196</v>
      </c>
      <c r="C154" t="s">
        <v>173</v>
      </c>
      <c r="D154">
        <v>13</v>
      </c>
      <c r="E154" t="s">
        <v>277</v>
      </c>
      <c r="F154" t="s">
        <v>278</v>
      </c>
      <c r="G154" t="s">
        <v>279</v>
      </c>
      <c r="H154" t="s">
        <v>280</v>
      </c>
      <c r="I154" t="s">
        <v>445</v>
      </c>
    </row>
    <row r="155" spans="1:9" x14ac:dyDescent="0.2">
      <c r="A155" t="s">
        <v>170</v>
      </c>
      <c r="B155" t="s">
        <v>196</v>
      </c>
      <c r="C155" t="s">
        <v>173</v>
      </c>
      <c r="D155">
        <v>14</v>
      </c>
      <c r="E155" t="s">
        <v>283</v>
      </c>
      <c r="F155" t="s">
        <v>284</v>
      </c>
      <c r="G155" t="s">
        <v>285</v>
      </c>
      <c r="H155" t="s">
        <v>286</v>
      </c>
      <c r="I155" t="s">
        <v>446</v>
      </c>
    </row>
    <row r="156" spans="1:9" x14ac:dyDescent="0.2">
      <c r="A156" t="s">
        <v>170</v>
      </c>
      <c r="B156" t="s">
        <v>196</v>
      </c>
      <c r="C156" t="s">
        <v>173</v>
      </c>
      <c r="D156">
        <v>15</v>
      </c>
      <c r="E156" t="s">
        <v>289</v>
      </c>
      <c r="F156" t="s">
        <v>290</v>
      </c>
      <c r="G156" t="s">
        <v>291</v>
      </c>
      <c r="H156" t="s">
        <v>292</v>
      </c>
      <c r="I156" t="s">
        <v>447</v>
      </c>
    </row>
    <row r="157" spans="1:9" x14ac:dyDescent="0.2">
      <c r="A157" t="s">
        <v>170</v>
      </c>
      <c r="B157" t="s">
        <v>196</v>
      </c>
      <c r="C157" t="s">
        <v>173</v>
      </c>
      <c r="D157">
        <v>16</v>
      </c>
      <c r="E157" t="s">
        <v>295</v>
      </c>
      <c r="F157" t="s">
        <v>296</v>
      </c>
      <c r="G157" t="s">
        <v>297</v>
      </c>
      <c r="H157" t="s">
        <v>298</v>
      </c>
      <c r="I157" t="s">
        <v>448</v>
      </c>
    </row>
    <row r="158" spans="1:9" x14ac:dyDescent="0.2">
      <c r="A158" t="s">
        <v>170</v>
      </c>
      <c r="B158" t="s">
        <v>196</v>
      </c>
      <c r="C158" t="s">
        <v>173</v>
      </c>
      <c r="D158">
        <v>17</v>
      </c>
      <c r="E158" t="s">
        <v>301</v>
      </c>
      <c r="F158" t="s">
        <v>302</v>
      </c>
      <c r="G158" t="s">
        <v>303</v>
      </c>
      <c r="H158" t="s">
        <v>304</v>
      </c>
      <c r="I158" t="s">
        <v>449</v>
      </c>
    </row>
    <row r="159" spans="1:9" x14ac:dyDescent="0.2">
      <c r="A159" t="s">
        <v>170</v>
      </c>
      <c r="B159" t="s">
        <v>196</v>
      </c>
      <c r="C159" t="s">
        <v>173</v>
      </c>
      <c r="D159">
        <v>18</v>
      </c>
      <c r="E159" t="s">
        <v>307</v>
      </c>
      <c r="F159" t="s">
        <v>308</v>
      </c>
      <c r="G159" t="s">
        <v>309</v>
      </c>
      <c r="H159" t="s">
        <v>310</v>
      </c>
      <c r="I159" t="s">
        <v>450</v>
      </c>
    </row>
    <row r="160" spans="1:9" x14ac:dyDescent="0.2">
      <c r="A160" t="s">
        <v>170</v>
      </c>
      <c r="B160" t="s">
        <v>196</v>
      </c>
      <c r="C160" t="s">
        <v>173</v>
      </c>
      <c r="D160">
        <v>19</v>
      </c>
      <c r="E160" t="s">
        <v>312</v>
      </c>
      <c r="F160" t="s">
        <v>313</v>
      </c>
      <c r="G160" t="s">
        <v>314</v>
      </c>
      <c r="H160" t="s">
        <v>315</v>
      </c>
      <c r="I160" t="s">
        <v>451</v>
      </c>
    </row>
    <row r="161" spans="1:9" x14ac:dyDescent="0.2">
      <c r="A161" t="s">
        <v>170</v>
      </c>
      <c r="B161" t="s">
        <v>196</v>
      </c>
      <c r="C161" t="s">
        <v>173</v>
      </c>
      <c r="D161">
        <v>20</v>
      </c>
      <c r="E161" t="s">
        <v>318</v>
      </c>
      <c r="F161" t="s">
        <v>319</v>
      </c>
      <c r="G161" t="s">
        <v>320</v>
      </c>
      <c r="H161" t="s">
        <v>321</v>
      </c>
      <c r="I161" t="s">
        <v>452</v>
      </c>
    </row>
    <row r="162" spans="1:9" x14ac:dyDescent="0.2">
      <c r="A162" t="s">
        <v>170</v>
      </c>
      <c r="B162" t="s">
        <v>178</v>
      </c>
      <c r="C162" t="s">
        <v>177</v>
      </c>
      <c r="D162">
        <v>1</v>
      </c>
      <c r="E162" t="s">
        <v>205</v>
      </c>
      <c r="F162" t="s">
        <v>206</v>
      </c>
      <c r="G162" t="s">
        <v>207</v>
      </c>
      <c r="H162" t="s">
        <v>208</v>
      </c>
      <c r="I162" t="s">
        <v>453</v>
      </c>
    </row>
    <row r="163" spans="1:9" x14ac:dyDescent="0.2">
      <c r="A163" t="s">
        <v>170</v>
      </c>
      <c r="B163" t="s">
        <v>178</v>
      </c>
      <c r="C163" t="s">
        <v>177</v>
      </c>
      <c r="D163">
        <v>2</v>
      </c>
      <c r="E163" t="s">
        <v>211</v>
      </c>
      <c r="F163" t="s">
        <v>212</v>
      </c>
      <c r="G163" t="s">
        <v>213</v>
      </c>
      <c r="H163" t="s">
        <v>214</v>
      </c>
      <c r="I163" t="s">
        <v>454</v>
      </c>
    </row>
    <row r="164" spans="1:9" x14ac:dyDescent="0.2">
      <c r="A164" t="s">
        <v>170</v>
      </c>
      <c r="B164" t="s">
        <v>178</v>
      </c>
      <c r="C164" t="s">
        <v>177</v>
      </c>
      <c r="D164">
        <v>3</v>
      </c>
      <c r="E164" t="s">
        <v>217</v>
      </c>
      <c r="F164" t="s">
        <v>218</v>
      </c>
      <c r="G164" t="s">
        <v>219</v>
      </c>
      <c r="H164" t="s">
        <v>220</v>
      </c>
      <c r="I164" t="s">
        <v>455</v>
      </c>
    </row>
    <row r="165" spans="1:9" x14ac:dyDescent="0.2">
      <c r="A165" t="s">
        <v>170</v>
      </c>
      <c r="B165" t="s">
        <v>178</v>
      </c>
      <c r="C165" t="s">
        <v>177</v>
      </c>
      <c r="D165">
        <v>4</v>
      </c>
      <c r="E165" t="s">
        <v>223</v>
      </c>
      <c r="F165" t="s">
        <v>224</v>
      </c>
      <c r="G165" t="s">
        <v>225</v>
      </c>
      <c r="H165" t="s">
        <v>226</v>
      </c>
      <c r="I165" t="s">
        <v>456</v>
      </c>
    </row>
    <row r="166" spans="1:9" x14ac:dyDescent="0.2">
      <c r="A166" t="s">
        <v>170</v>
      </c>
      <c r="B166" t="s">
        <v>178</v>
      </c>
      <c r="C166" t="s">
        <v>177</v>
      </c>
      <c r="D166">
        <v>5</v>
      </c>
      <c r="E166" t="s">
        <v>229</v>
      </c>
      <c r="F166" t="s">
        <v>230</v>
      </c>
      <c r="G166" t="s">
        <v>231</v>
      </c>
      <c r="H166" t="s">
        <v>232</v>
      </c>
      <c r="I166" t="s">
        <v>457</v>
      </c>
    </row>
    <row r="167" spans="1:9" x14ac:dyDescent="0.2">
      <c r="A167" t="s">
        <v>170</v>
      </c>
      <c r="B167" t="s">
        <v>178</v>
      </c>
      <c r="C167" t="s">
        <v>177</v>
      </c>
      <c r="D167">
        <v>6</v>
      </c>
      <c r="E167" t="s">
        <v>235</v>
      </c>
      <c r="F167" t="s">
        <v>236</v>
      </c>
      <c r="G167" t="s">
        <v>237</v>
      </c>
      <c r="H167" t="s">
        <v>238</v>
      </c>
      <c r="I167" t="s">
        <v>458</v>
      </c>
    </row>
    <row r="168" spans="1:9" x14ac:dyDescent="0.2">
      <c r="A168" t="s">
        <v>170</v>
      </c>
      <c r="B168" t="s">
        <v>178</v>
      </c>
      <c r="C168" t="s">
        <v>177</v>
      </c>
      <c r="D168">
        <v>7</v>
      </c>
      <c r="E168" t="s">
        <v>241</v>
      </c>
      <c r="F168" t="s">
        <v>242</v>
      </c>
      <c r="G168" t="s">
        <v>243</v>
      </c>
      <c r="H168" t="s">
        <v>244</v>
      </c>
      <c r="I168" t="s">
        <v>459</v>
      </c>
    </row>
    <row r="169" spans="1:9" x14ac:dyDescent="0.2">
      <c r="A169" t="s">
        <v>170</v>
      </c>
      <c r="B169" t="s">
        <v>178</v>
      </c>
      <c r="C169" t="s">
        <v>177</v>
      </c>
      <c r="D169">
        <v>8</v>
      </c>
      <c r="E169" t="s">
        <v>247</v>
      </c>
      <c r="F169" t="s">
        <v>248</v>
      </c>
      <c r="G169" t="s">
        <v>249</v>
      </c>
      <c r="H169" t="s">
        <v>250</v>
      </c>
      <c r="I169" t="s">
        <v>460</v>
      </c>
    </row>
    <row r="170" spans="1:9" x14ac:dyDescent="0.2">
      <c r="A170" t="s">
        <v>170</v>
      </c>
      <c r="B170" t="s">
        <v>178</v>
      </c>
      <c r="C170" t="s">
        <v>177</v>
      </c>
      <c r="D170">
        <v>9</v>
      </c>
      <c r="E170" t="s">
        <v>253</v>
      </c>
      <c r="F170" t="s">
        <v>254</v>
      </c>
      <c r="G170" t="s">
        <v>255</v>
      </c>
      <c r="H170" t="s">
        <v>256</v>
      </c>
      <c r="I170" t="s">
        <v>461</v>
      </c>
    </row>
    <row r="171" spans="1:9" x14ac:dyDescent="0.2">
      <c r="A171" t="s">
        <v>170</v>
      </c>
      <c r="B171" t="s">
        <v>178</v>
      </c>
      <c r="C171" t="s">
        <v>177</v>
      </c>
      <c r="D171">
        <v>10</v>
      </c>
      <c r="E171" t="s">
        <v>259</v>
      </c>
      <c r="F171" t="s">
        <v>260</v>
      </c>
      <c r="G171" t="s">
        <v>261</v>
      </c>
      <c r="H171" t="s">
        <v>262</v>
      </c>
      <c r="I171" t="s">
        <v>462</v>
      </c>
    </row>
    <row r="172" spans="1:9" x14ac:dyDescent="0.2">
      <c r="A172" t="s">
        <v>170</v>
      </c>
      <c r="B172" t="s">
        <v>178</v>
      </c>
      <c r="C172" t="s">
        <v>177</v>
      </c>
      <c r="D172">
        <v>11</v>
      </c>
      <c r="E172" t="s">
        <v>265</v>
      </c>
      <c r="F172" t="s">
        <v>266</v>
      </c>
      <c r="G172" t="s">
        <v>267</v>
      </c>
      <c r="H172" t="s">
        <v>268</v>
      </c>
      <c r="I172" t="s">
        <v>463</v>
      </c>
    </row>
    <row r="173" spans="1:9" x14ac:dyDescent="0.2">
      <c r="A173" t="s">
        <v>170</v>
      </c>
      <c r="B173" t="s">
        <v>178</v>
      </c>
      <c r="C173" t="s">
        <v>177</v>
      </c>
      <c r="D173">
        <v>12</v>
      </c>
      <c r="E173" t="s">
        <v>271</v>
      </c>
      <c r="F173" t="s">
        <v>272</v>
      </c>
      <c r="G173" t="s">
        <v>273</v>
      </c>
      <c r="H173" t="s">
        <v>274</v>
      </c>
      <c r="I173" t="s">
        <v>464</v>
      </c>
    </row>
    <row r="174" spans="1:9" x14ac:dyDescent="0.2">
      <c r="A174" t="s">
        <v>170</v>
      </c>
      <c r="B174" t="s">
        <v>178</v>
      </c>
      <c r="C174" t="s">
        <v>177</v>
      </c>
      <c r="D174">
        <v>13</v>
      </c>
      <c r="E174" t="s">
        <v>277</v>
      </c>
      <c r="F174" t="s">
        <v>278</v>
      </c>
      <c r="G174" t="s">
        <v>279</v>
      </c>
      <c r="H174" t="s">
        <v>280</v>
      </c>
      <c r="I174" t="s">
        <v>465</v>
      </c>
    </row>
    <row r="175" spans="1:9" x14ac:dyDescent="0.2">
      <c r="A175" t="s">
        <v>170</v>
      </c>
      <c r="B175" t="s">
        <v>178</v>
      </c>
      <c r="C175" t="s">
        <v>177</v>
      </c>
      <c r="D175">
        <v>14</v>
      </c>
      <c r="E175" t="s">
        <v>283</v>
      </c>
      <c r="F175" t="s">
        <v>284</v>
      </c>
      <c r="G175" t="s">
        <v>285</v>
      </c>
      <c r="H175" t="s">
        <v>286</v>
      </c>
      <c r="I175" t="s">
        <v>466</v>
      </c>
    </row>
    <row r="176" spans="1:9" x14ac:dyDescent="0.2">
      <c r="A176" t="s">
        <v>170</v>
      </c>
      <c r="B176" t="s">
        <v>178</v>
      </c>
      <c r="C176" t="s">
        <v>177</v>
      </c>
      <c r="D176">
        <v>15</v>
      </c>
      <c r="E176" t="s">
        <v>289</v>
      </c>
      <c r="F176" t="s">
        <v>290</v>
      </c>
      <c r="G176" t="s">
        <v>291</v>
      </c>
      <c r="H176" t="s">
        <v>292</v>
      </c>
      <c r="I176" t="s">
        <v>467</v>
      </c>
    </row>
    <row r="177" spans="1:9" x14ac:dyDescent="0.2">
      <c r="A177" t="s">
        <v>170</v>
      </c>
      <c r="B177" t="s">
        <v>178</v>
      </c>
      <c r="C177" t="s">
        <v>177</v>
      </c>
      <c r="D177">
        <v>16</v>
      </c>
      <c r="E177" t="s">
        <v>295</v>
      </c>
      <c r="F177" t="s">
        <v>296</v>
      </c>
      <c r="G177" t="s">
        <v>297</v>
      </c>
      <c r="H177" t="s">
        <v>298</v>
      </c>
      <c r="I177" t="s">
        <v>468</v>
      </c>
    </row>
    <row r="178" spans="1:9" x14ac:dyDescent="0.2">
      <c r="A178" t="s">
        <v>170</v>
      </c>
      <c r="B178" t="s">
        <v>178</v>
      </c>
      <c r="C178" t="s">
        <v>177</v>
      </c>
      <c r="D178">
        <v>17</v>
      </c>
      <c r="E178" t="s">
        <v>301</v>
      </c>
      <c r="F178" t="s">
        <v>302</v>
      </c>
      <c r="G178" t="s">
        <v>303</v>
      </c>
      <c r="H178" t="s">
        <v>304</v>
      </c>
      <c r="I178" t="s">
        <v>469</v>
      </c>
    </row>
    <row r="179" spans="1:9" x14ac:dyDescent="0.2">
      <c r="A179" t="s">
        <v>170</v>
      </c>
      <c r="B179" t="s">
        <v>178</v>
      </c>
      <c r="C179" t="s">
        <v>177</v>
      </c>
      <c r="D179">
        <v>18</v>
      </c>
      <c r="E179" t="s">
        <v>307</v>
      </c>
      <c r="F179" t="s">
        <v>308</v>
      </c>
      <c r="G179" t="s">
        <v>309</v>
      </c>
      <c r="H179" t="s">
        <v>310</v>
      </c>
      <c r="I179" t="s">
        <v>470</v>
      </c>
    </row>
    <row r="180" spans="1:9" x14ac:dyDescent="0.2">
      <c r="A180" t="s">
        <v>170</v>
      </c>
      <c r="B180" t="s">
        <v>178</v>
      </c>
      <c r="C180" t="s">
        <v>177</v>
      </c>
      <c r="D180">
        <v>19</v>
      </c>
      <c r="E180" t="s">
        <v>312</v>
      </c>
      <c r="F180" t="s">
        <v>313</v>
      </c>
      <c r="G180" t="s">
        <v>314</v>
      </c>
      <c r="H180" t="s">
        <v>315</v>
      </c>
      <c r="I180" t="s">
        <v>471</v>
      </c>
    </row>
    <row r="181" spans="1:9" x14ac:dyDescent="0.2">
      <c r="A181" t="s">
        <v>170</v>
      </c>
      <c r="B181" t="s">
        <v>178</v>
      </c>
      <c r="C181" t="s">
        <v>177</v>
      </c>
      <c r="D181">
        <v>20</v>
      </c>
      <c r="E181" t="s">
        <v>318</v>
      </c>
      <c r="F181" t="s">
        <v>319</v>
      </c>
      <c r="G181" t="s">
        <v>320</v>
      </c>
      <c r="H181" t="s">
        <v>321</v>
      </c>
      <c r="I181" t="s">
        <v>472</v>
      </c>
    </row>
    <row r="182" spans="1:9" x14ac:dyDescent="0.2">
      <c r="A182" t="s">
        <v>183</v>
      </c>
      <c r="B182" t="s">
        <v>187</v>
      </c>
      <c r="C182" t="s">
        <v>186</v>
      </c>
      <c r="D182">
        <v>1</v>
      </c>
      <c r="E182" t="s">
        <v>205</v>
      </c>
      <c r="F182" t="s">
        <v>206</v>
      </c>
      <c r="G182" t="s">
        <v>207</v>
      </c>
      <c r="H182" t="s">
        <v>208</v>
      </c>
      <c r="I182" t="s">
        <v>473</v>
      </c>
    </row>
    <row r="183" spans="1:9" x14ac:dyDescent="0.2">
      <c r="A183" t="s">
        <v>183</v>
      </c>
      <c r="B183" t="s">
        <v>187</v>
      </c>
      <c r="C183" t="s">
        <v>186</v>
      </c>
      <c r="D183">
        <v>2</v>
      </c>
      <c r="E183" t="s">
        <v>211</v>
      </c>
      <c r="F183" t="s">
        <v>212</v>
      </c>
      <c r="G183" t="s">
        <v>213</v>
      </c>
      <c r="H183" t="s">
        <v>214</v>
      </c>
      <c r="I183" t="s">
        <v>474</v>
      </c>
    </row>
    <row r="184" spans="1:9" x14ac:dyDescent="0.2">
      <c r="A184" t="s">
        <v>183</v>
      </c>
      <c r="B184" t="s">
        <v>187</v>
      </c>
      <c r="C184" t="s">
        <v>186</v>
      </c>
      <c r="D184">
        <v>3</v>
      </c>
      <c r="E184" t="s">
        <v>217</v>
      </c>
      <c r="F184" t="s">
        <v>218</v>
      </c>
      <c r="G184" t="s">
        <v>219</v>
      </c>
      <c r="H184" t="s">
        <v>220</v>
      </c>
      <c r="I184" t="s">
        <v>220</v>
      </c>
    </row>
    <row r="185" spans="1:9" x14ac:dyDescent="0.2">
      <c r="A185" t="s">
        <v>183</v>
      </c>
      <c r="B185" t="s">
        <v>187</v>
      </c>
      <c r="C185" t="s">
        <v>186</v>
      </c>
      <c r="D185">
        <v>4</v>
      </c>
      <c r="E185" t="s">
        <v>223</v>
      </c>
      <c r="F185" t="s">
        <v>224</v>
      </c>
      <c r="G185" t="s">
        <v>225</v>
      </c>
      <c r="H185" t="s">
        <v>226</v>
      </c>
      <c r="I185" t="s">
        <v>226</v>
      </c>
    </row>
    <row r="186" spans="1:9" x14ac:dyDescent="0.2">
      <c r="A186" t="s">
        <v>183</v>
      </c>
      <c r="B186" t="s">
        <v>187</v>
      </c>
      <c r="C186" t="s">
        <v>186</v>
      </c>
      <c r="D186">
        <v>5</v>
      </c>
      <c r="E186" t="s">
        <v>229</v>
      </c>
      <c r="F186" t="s">
        <v>230</v>
      </c>
      <c r="G186" t="s">
        <v>231</v>
      </c>
      <c r="H186" t="s">
        <v>232</v>
      </c>
      <c r="I186" t="s">
        <v>232</v>
      </c>
    </row>
    <row r="187" spans="1:9" x14ac:dyDescent="0.2">
      <c r="A187" t="s">
        <v>183</v>
      </c>
      <c r="B187" t="s">
        <v>187</v>
      </c>
      <c r="C187" t="s">
        <v>186</v>
      </c>
      <c r="D187">
        <v>6</v>
      </c>
      <c r="E187" t="s">
        <v>235</v>
      </c>
      <c r="F187" t="s">
        <v>236</v>
      </c>
      <c r="G187" t="s">
        <v>237</v>
      </c>
      <c r="H187" t="s">
        <v>238</v>
      </c>
      <c r="I187" t="s">
        <v>475</v>
      </c>
    </row>
    <row r="188" spans="1:9" x14ac:dyDescent="0.2">
      <c r="A188" t="s">
        <v>183</v>
      </c>
      <c r="B188" t="s">
        <v>187</v>
      </c>
      <c r="C188" t="s">
        <v>186</v>
      </c>
      <c r="D188">
        <v>7</v>
      </c>
      <c r="E188" t="s">
        <v>241</v>
      </c>
      <c r="F188" t="s">
        <v>242</v>
      </c>
      <c r="G188" t="s">
        <v>243</v>
      </c>
      <c r="H188" t="s">
        <v>244</v>
      </c>
      <c r="I188" t="s">
        <v>244</v>
      </c>
    </row>
    <row r="189" spans="1:9" x14ac:dyDescent="0.2">
      <c r="A189" t="s">
        <v>183</v>
      </c>
      <c r="B189" t="s">
        <v>187</v>
      </c>
      <c r="C189" t="s">
        <v>186</v>
      </c>
      <c r="D189">
        <v>8</v>
      </c>
      <c r="E189" t="s">
        <v>247</v>
      </c>
      <c r="F189" t="s">
        <v>248</v>
      </c>
      <c r="G189" t="s">
        <v>249</v>
      </c>
      <c r="H189" t="s">
        <v>250</v>
      </c>
      <c r="I189" t="s">
        <v>476</v>
      </c>
    </row>
    <row r="190" spans="1:9" x14ac:dyDescent="0.2">
      <c r="A190" t="s">
        <v>183</v>
      </c>
      <c r="B190" t="s">
        <v>187</v>
      </c>
      <c r="C190" t="s">
        <v>186</v>
      </c>
      <c r="D190">
        <v>9</v>
      </c>
      <c r="E190" t="s">
        <v>253</v>
      </c>
      <c r="F190" t="s">
        <v>254</v>
      </c>
      <c r="G190" t="s">
        <v>255</v>
      </c>
      <c r="H190" t="s">
        <v>256</v>
      </c>
      <c r="I190" t="s">
        <v>256</v>
      </c>
    </row>
    <row r="191" spans="1:9" x14ac:dyDescent="0.2">
      <c r="A191" t="s">
        <v>183</v>
      </c>
      <c r="B191" t="s">
        <v>187</v>
      </c>
      <c r="C191" t="s">
        <v>186</v>
      </c>
      <c r="D191">
        <v>10</v>
      </c>
      <c r="E191" t="s">
        <v>259</v>
      </c>
      <c r="F191" t="s">
        <v>260</v>
      </c>
      <c r="G191" t="s">
        <v>261</v>
      </c>
      <c r="H191" t="s">
        <v>262</v>
      </c>
      <c r="I191" t="s">
        <v>477</v>
      </c>
    </row>
    <row r="192" spans="1:9" x14ac:dyDescent="0.2">
      <c r="A192" t="s">
        <v>183</v>
      </c>
      <c r="B192" t="s">
        <v>187</v>
      </c>
      <c r="C192" t="s">
        <v>186</v>
      </c>
      <c r="D192">
        <v>11</v>
      </c>
      <c r="E192" t="s">
        <v>265</v>
      </c>
      <c r="F192" t="s">
        <v>266</v>
      </c>
      <c r="G192" t="s">
        <v>267</v>
      </c>
      <c r="H192" t="s">
        <v>268</v>
      </c>
      <c r="I192" t="s">
        <v>268</v>
      </c>
    </row>
    <row r="193" spans="1:9" x14ac:dyDescent="0.2">
      <c r="A193" t="s">
        <v>183</v>
      </c>
      <c r="B193" t="s">
        <v>187</v>
      </c>
      <c r="C193" t="s">
        <v>186</v>
      </c>
      <c r="D193">
        <v>12</v>
      </c>
      <c r="E193" t="s">
        <v>271</v>
      </c>
      <c r="F193" t="s">
        <v>272</v>
      </c>
      <c r="G193" t="s">
        <v>273</v>
      </c>
      <c r="H193" t="s">
        <v>274</v>
      </c>
      <c r="I193" t="s">
        <v>478</v>
      </c>
    </row>
    <row r="194" spans="1:9" x14ac:dyDescent="0.2">
      <c r="A194" t="s">
        <v>183</v>
      </c>
      <c r="B194" t="s">
        <v>187</v>
      </c>
      <c r="C194" t="s">
        <v>186</v>
      </c>
      <c r="D194">
        <v>13</v>
      </c>
      <c r="E194" t="s">
        <v>277</v>
      </c>
      <c r="F194" t="s">
        <v>278</v>
      </c>
      <c r="G194" t="s">
        <v>279</v>
      </c>
      <c r="H194" t="s">
        <v>280</v>
      </c>
      <c r="I194" t="s">
        <v>479</v>
      </c>
    </row>
    <row r="195" spans="1:9" x14ac:dyDescent="0.2">
      <c r="A195" t="s">
        <v>183</v>
      </c>
      <c r="B195" t="s">
        <v>187</v>
      </c>
      <c r="C195" t="s">
        <v>186</v>
      </c>
      <c r="D195">
        <v>14</v>
      </c>
      <c r="E195" t="s">
        <v>283</v>
      </c>
      <c r="F195" t="s">
        <v>284</v>
      </c>
      <c r="G195" t="s">
        <v>285</v>
      </c>
      <c r="H195" t="s">
        <v>286</v>
      </c>
      <c r="I195" t="s">
        <v>286</v>
      </c>
    </row>
    <row r="196" spans="1:9" x14ac:dyDescent="0.2">
      <c r="A196" t="s">
        <v>183</v>
      </c>
      <c r="B196" t="s">
        <v>187</v>
      </c>
      <c r="C196" t="s">
        <v>186</v>
      </c>
      <c r="D196">
        <v>15</v>
      </c>
      <c r="E196" t="s">
        <v>289</v>
      </c>
      <c r="F196" t="s">
        <v>290</v>
      </c>
      <c r="G196" t="s">
        <v>291</v>
      </c>
      <c r="H196" t="s">
        <v>292</v>
      </c>
      <c r="I196" t="s">
        <v>480</v>
      </c>
    </row>
    <row r="197" spans="1:9" x14ac:dyDescent="0.2">
      <c r="A197" t="s">
        <v>183</v>
      </c>
      <c r="B197" t="s">
        <v>187</v>
      </c>
      <c r="C197" t="s">
        <v>186</v>
      </c>
      <c r="D197">
        <v>16</v>
      </c>
      <c r="E197" t="s">
        <v>295</v>
      </c>
      <c r="F197" t="s">
        <v>296</v>
      </c>
      <c r="G197" t="s">
        <v>297</v>
      </c>
      <c r="H197" t="s">
        <v>298</v>
      </c>
      <c r="I197" t="s">
        <v>298</v>
      </c>
    </row>
    <row r="198" spans="1:9" x14ac:dyDescent="0.2">
      <c r="A198" t="s">
        <v>183</v>
      </c>
      <c r="B198" t="s">
        <v>187</v>
      </c>
      <c r="C198" t="s">
        <v>186</v>
      </c>
      <c r="D198">
        <v>17</v>
      </c>
      <c r="E198" t="s">
        <v>301</v>
      </c>
      <c r="F198" t="s">
        <v>302</v>
      </c>
      <c r="G198" t="s">
        <v>303</v>
      </c>
      <c r="H198" t="s">
        <v>304</v>
      </c>
      <c r="I198" t="s">
        <v>304</v>
      </c>
    </row>
    <row r="199" spans="1:9" x14ac:dyDescent="0.2">
      <c r="A199" t="s">
        <v>183</v>
      </c>
      <c r="B199" t="s">
        <v>187</v>
      </c>
      <c r="C199" t="s">
        <v>186</v>
      </c>
      <c r="D199">
        <v>18</v>
      </c>
      <c r="E199" t="s">
        <v>307</v>
      </c>
      <c r="F199" t="s">
        <v>308</v>
      </c>
      <c r="G199" t="s">
        <v>309</v>
      </c>
      <c r="H199" t="s">
        <v>310</v>
      </c>
      <c r="I199" t="s">
        <v>310</v>
      </c>
    </row>
    <row r="200" spans="1:9" x14ac:dyDescent="0.2">
      <c r="A200" t="s">
        <v>183</v>
      </c>
      <c r="B200" t="s">
        <v>187</v>
      </c>
      <c r="C200" t="s">
        <v>186</v>
      </c>
      <c r="D200">
        <v>19</v>
      </c>
      <c r="E200" t="s">
        <v>312</v>
      </c>
      <c r="F200" t="s">
        <v>313</v>
      </c>
      <c r="G200" t="s">
        <v>314</v>
      </c>
      <c r="H200" t="s">
        <v>315</v>
      </c>
      <c r="I200" t="s">
        <v>315</v>
      </c>
    </row>
    <row r="201" spans="1:9" x14ac:dyDescent="0.2">
      <c r="A201" t="s">
        <v>183</v>
      </c>
      <c r="B201" t="s">
        <v>187</v>
      </c>
      <c r="C201" t="s">
        <v>186</v>
      </c>
      <c r="D201">
        <v>20</v>
      </c>
      <c r="E201" t="s">
        <v>318</v>
      </c>
      <c r="F201" t="s">
        <v>319</v>
      </c>
      <c r="G201" t="s">
        <v>320</v>
      </c>
      <c r="H201" t="s">
        <v>321</v>
      </c>
      <c r="I201" t="s">
        <v>321</v>
      </c>
    </row>
    <row r="202" spans="1:9" x14ac:dyDescent="0.2">
      <c r="A202" t="s">
        <v>183</v>
      </c>
      <c r="B202" t="s">
        <v>192</v>
      </c>
      <c r="C202" t="s">
        <v>191</v>
      </c>
      <c r="D202">
        <v>1</v>
      </c>
      <c r="E202" t="s">
        <v>205</v>
      </c>
      <c r="F202" t="s">
        <v>206</v>
      </c>
      <c r="G202" t="s">
        <v>207</v>
      </c>
      <c r="H202" t="s">
        <v>208</v>
      </c>
      <c r="I202" t="s">
        <v>208</v>
      </c>
    </row>
    <row r="203" spans="1:9" x14ac:dyDescent="0.2">
      <c r="A203" t="s">
        <v>183</v>
      </c>
      <c r="B203" t="s">
        <v>192</v>
      </c>
      <c r="C203" t="s">
        <v>191</v>
      </c>
      <c r="D203">
        <v>2</v>
      </c>
      <c r="E203" t="s">
        <v>211</v>
      </c>
      <c r="F203" t="s">
        <v>212</v>
      </c>
      <c r="G203" t="s">
        <v>213</v>
      </c>
      <c r="H203" t="s">
        <v>214</v>
      </c>
      <c r="I203" t="s">
        <v>214</v>
      </c>
    </row>
    <row r="204" spans="1:9" x14ac:dyDescent="0.2">
      <c r="A204" t="s">
        <v>183</v>
      </c>
      <c r="B204" t="s">
        <v>192</v>
      </c>
      <c r="C204" t="s">
        <v>191</v>
      </c>
      <c r="D204">
        <v>3</v>
      </c>
      <c r="E204" t="s">
        <v>217</v>
      </c>
      <c r="F204" t="s">
        <v>218</v>
      </c>
      <c r="G204" t="s">
        <v>219</v>
      </c>
      <c r="H204" t="s">
        <v>220</v>
      </c>
      <c r="I204" t="s">
        <v>220</v>
      </c>
    </row>
    <row r="205" spans="1:9" x14ac:dyDescent="0.2">
      <c r="A205" t="s">
        <v>183</v>
      </c>
      <c r="B205" t="s">
        <v>192</v>
      </c>
      <c r="C205" t="s">
        <v>191</v>
      </c>
      <c r="D205">
        <v>4</v>
      </c>
      <c r="E205" t="s">
        <v>223</v>
      </c>
      <c r="F205" t="s">
        <v>224</v>
      </c>
      <c r="G205" t="s">
        <v>225</v>
      </c>
      <c r="H205" t="s">
        <v>226</v>
      </c>
      <c r="I205" t="s">
        <v>226</v>
      </c>
    </row>
    <row r="206" spans="1:9" x14ac:dyDescent="0.2">
      <c r="A206" t="s">
        <v>183</v>
      </c>
      <c r="B206" t="s">
        <v>192</v>
      </c>
      <c r="C206" t="s">
        <v>191</v>
      </c>
      <c r="D206">
        <v>5</v>
      </c>
      <c r="E206" t="s">
        <v>229</v>
      </c>
      <c r="F206" t="s">
        <v>230</v>
      </c>
      <c r="G206" t="s">
        <v>231</v>
      </c>
      <c r="H206" t="s">
        <v>232</v>
      </c>
      <c r="I206" t="s">
        <v>232</v>
      </c>
    </row>
    <row r="207" spans="1:9" x14ac:dyDescent="0.2">
      <c r="A207" t="s">
        <v>183</v>
      </c>
      <c r="B207" t="s">
        <v>192</v>
      </c>
      <c r="C207" t="s">
        <v>191</v>
      </c>
      <c r="D207">
        <v>6</v>
      </c>
      <c r="E207" t="s">
        <v>235</v>
      </c>
      <c r="F207" t="s">
        <v>236</v>
      </c>
      <c r="G207" t="s">
        <v>237</v>
      </c>
      <c r="H207" t="s">
        <v>238</v>
      </c>
      <c r="I207" t="s">
        <v>238</v>
      </c>
    </row>
    <row r="208" spans="1:9" x14ac:dyDescent="0.2">
      <c r="A208" t="s">
        <v>183</v>
      </c>
      <c r="B208" t="s">
        <v>192</v>
      </c>
      <c r="C208" t="s">
        <v>191</v>
      </c>
      <c r="D208">
        <v>7</v>
      </c>
      <c r="E208" t="s">
        <v>241</v>
      </c>
      <c r="F208" t="s">
        <v>242</v>
      </c>
      <c r="G208" t="s">
        <v>243</v>
      </c>
      <c r="H208" t="s">
        <v>244</v>
      </c>
      <c r="I208" t="s">
        <v>244</v>
      </c>
    </row>
    <row r="209" spans="1:9" x14ac:dyDescent="0.2">
      <c r="A209" t="s">
        <v>183</v>
      </c>
      <c r="B209" t="s">
        <v>192</v>
      </c>
      <c r="C209" t="s">
        <v>191</v>
      </c>
      <c r="D209">
        <v>8</v>
      </c>
      <c r="E209" t="s">
        <v>247</v>
      </c>
      <c r="F209" t="s">
        <v>248</v>
      </c>
      <c r="G209" t="s">
        <v>249</v>
      </c>
      <c r="H209" t="s">
        <v>250</v>
      </c>
      <c r="I209" t="s">
        <v>250</v>
      </c>
    </row>
    <row r="210" spans="1:9" x14ac:dyDescent="0.2">
      <c r="A210" t="s">
        <v>183</v>
      </c>
      <c r="B210" t="s">
        <v>192</v>
      </c>
      <c r="C210" t="s">
        <v>191</v>
      </c>
      <c r="D210">
        <v>9</v>
      </c>
      <c r="E210" t="s">
        <v>253</v>
      </c>
      <c r="F210" t="s">
        <v>254</v>
      </c>
      <c r="G210" t="s">
        <v>255</v>
      </c>
      <c r="H210" t="s">
        <v>256</v>
      </c>
      <c r="I210" t="s">
        <v>256</v>
      </c>
    </row>
    <row r="211" spans="1:9" x14ac:dyDescent="0.2">
      <c r="A211" t="s">
        <v>183</v>
      </c>
      <c r="B211" t="s">
        <v>192</v>
      </c>
      <c r="C211" t="s">
        <v>191</v>
      </c>
      <c r="D211">
        <v>10</v>
      </c>
      <c r="E211" t="s">
        <v>259</v>
      </c>
      <c r="F211" t="s">
        <v>260</v>
      </c>
      <c r="G211" t="s">
        <v>261</v>
      </c>
      <c r="H211" t="s">
        <v>262</v>
      </c>
      <c r="I211" t="s">
        <v>262</v>
      </c>
    </row>
    <row r="212" spans="1:9" x14ac:dyDescent="0.2">
      <c r="A212" t="s">
        <v>183</v>
      </c>
      <c r="B212" t="s">
        <v>192</v>
      </c>
      <c r="C212" t="s">
        <v>191</v>
      </c>
      <c r="D212">
        <v>11</v>
      </c>
      <c r="E212" t="s">
        <v>265</v>
      </c>
      <c r="F212" t="s">
        <v>266</v>
      </c>
      <c r="G212" t="s">
        <v>267</v>
      </c>
      <c r="H212" t="s">
        <v>268</v>
      </c>
      <c r="I212" t="s">
        <v>268</v>
      </c>
    </row>
    <row r="213" spans="1:9" x14ac:dyDescent="0.2">
      <c r="A213" t="s">
        <v>183</v>
      </c>
      <c r="B213" t="s">
        <v>192</v>
      </c>
      <c r="C213" t="s">
        <v>191</v>
      </c>
      <c r="D213">
        <v>12</v>
      </c>
      <c r="E213" t="s">
        <v>271</v>
      </c>
      <c r="F213" t="s">
        <v>272</v>
      </c>
      <c r="G213" t="s">
        <v>273</v>
      </c>
      <c r="H213" t="s">
        <v>274</v>
      </c>
      <c r="I213" t="s">
        <v>274</v>
      </c>
    </row>
    <row r="214" spans="1:9" x14ac:dyDescent="0.2">
      <c r="A214" t="s">
        <v>183</v>
      </c>
      <c r="B214" t="s">
        <v>192</v>
      </c>
      <c r="C214" t="s">
        <v>191</v>
      </c>
      <c r="D214">
        <v>13</v>
      </c>
      <c r="E214" t="s">
        <v>277</v>
      </c>
      <c r="F214" t="s">
        <v>278</v>
      </c>
      <c r="G214" t="s">
        <v>279</v>
      </c>
      <c r="H214" t="s">
        <v>280</v>
      </c>
      <c r="I214" t="s">
        <v>280</v>
      </c>
    </row>
    <row r="215" spans="1:9" x14ac:dyDescent="0.2">
      <c r="A215" t="s">
        <v>183</v>
      </c>
      <c r="B215" t="s">
        <v>192</v>
      </c>
      <c r="C215" t="s">
        <v>191</v>
      </c>
      <c r="D215">
        <v>14</v>
      </c>
      <c r="E215" t="s">
        <v>283</v>
      </c>
      <c r="F215" t="s">
        <v>284</v>
      </c>
      <c r="G215" t="s">
        <v>285</v>
      </c>
      <c r="H215" t="s">
        <v>286</v>
      </c>
      <c r="I215" t="s">
        <v>286</v>
      </c>
    </row>
    <row r="216" spans="1:9" x14ac:dyDescent="0.2">
      <c r="A216" t="s">
        <v>183</v>
      </c>
      <c r="B216" t="s">
        <v>192</v>
      </c>
      <c r="C216" t="s">
        <v>191</v>
      </c>
      <c r="D216">
        <v>15</v>
      </c>
      <c r="E216" t="s">
        <v>289</v>
      </c>
      <c r="F216" t="s">
        <v>290</v>
      </c>
      <c r="G216" t="s">
        <v>291</v>
      </c>
      <c r="H216" t="s">
        <v>292</v>
      </c>
      <c r="I216" t="s">
        <v>292</v>
      </c>
    </row>
    <row r="217" spans="1:9" x14ac:dyDescent="0.2">
      <c r="A217" t="s">
        <v>183</v>
      </c>
      <c r="B217" t="s">
        <v>192</v>
      </c>
      <c r="C217" t="s">
        <v>191</v>
      </c>
      <c r="D217">
        <v>16</v>
      </c>
      <c r="E217" t="s">
        <v>295</v>
      </c>
      <c r="F217" t="s">
        <v>296</v>
      </c>
      <c r="G217" t="s">
        <v>297</v>
      </c>
      <c r="H217" t="s">
        <v>298</v>
      </c>
      <c r="I217" t="s">
        <v>298</v>
      </c>
    </row>
    <row r="218" spans="1:9" x14ac:dyDescent="0.2">
      <c r="A218" t="s">
        <v>183</v>
      </c>
      <c r="B218" t="s">
        <v>192</v>
      </c>
      <c r="C218" t="s">
        <v>191</v>
      </c>
      <c r="D218">
        <v>17</v>
      </c>
      <c r="E218" t="s">
        <v>301</v>
      </c>
      <c r="F218" t="s">
        <v>302</v>
      </c>
      <c r="G218" t="s">
        <v>303</v>
      </c>
      <c r="H218" t="s">
        <v>304</v>
      </c>
      <c r="I218" t="s">
        <v>304</v>
      </c>
    </row>
    <row r="219" spans="1:9" x14ac:dyDescent="0.2">
      <c r="A219" t="s">
        <v>183</v>
      </c>
      <c r="B219" t="s">
        <v>192</v>
      </c>
      <c r="C219" t="s">
        <v>191</v>
      </c>
      <c r="D219">
        <v>18</v>
      </c>
      <c r="E219" t="s">
        <v>307</v>
      </c>
      <c r="F219" t="s">
        <v>308</v>
      </c>
      <c r="G219" t="s">
        <v>309</v>
      </c>
      <c r="H219" t="s">
        <v>310</v>
      </c>
      <c r="I219" t="s">
        <v>310</v>
      </c>
    </row>
    <row r="220" spans="1:9" x14ac:dyDescent="0.2">
      <c r="A220" t="s">
        <v>183</v>
      </c>
      <c r="B220" t="s">
        <v>192</v>
      </c>
      <c r="C220" t="s">
        <v>191</v>
      </c>
      <c r="D220">
        <v>19</v>
      </c>
      <c r="E220" t="s">
        <v>312</v>
      </c>
      <c r="F220" t="s">
        <v>313</v>
      </c>
      <c r="G220" t="s">
        <v>314</v>
      </c>
      <c r="H220" t="s">
        <v>315</v>
      </c>
      <c r="I220" t="s">
        <v>315</v>
      </c>
    </row>
    <row r="221" spans="1:9" x14ac:dyDescent="0.2">
      <c r="A221" t="s">
        <v>183</v>
      </c>
      <c r="B221" t="s">
        <v>192</v>
      </c>
      <c r="C221" t="s">
        <v>191</v>
      </c>
      <c r="D221">
        <v>20</v>
      </c>
      <c r="E221" t="s">
        <v>318</v>
      </c>
      <c r="F221" t="s">
        <v>319</v>
      </c>
      <c r="G221" t="s">
        <v>320</v>
      </c>
      <c r="H221" t="s">
        <v>321</v>
      </c>
      <c r="I221" t="s">
        <v>321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9"/>
  <sheetViews>
    <sheetView topLeftCell="A9" workbookViewId="0">
      <selection activeCell="E40" sqref="E40"/>
    </sheetView>
  </sheetViews>
  <sheetFormatPr baseColWidth="10" defaultColWidth="8.83203125" defaultRowHeight="15" x14ac:dyDescent="0.2"/>
  <cols>
    <col min="1" max="1" width="7.33203125" bestFit="1" customWidth="1"/>
    <col min="2" max="2" width="10.83203125" bestFit="1" customWidth="1"/>
    <col min="3" max="3" width="19.83203125" bestFit="1" customWidth="1"/>
    <col min="4" max="4" width="8.33203125" bestFit="1" customWidth="1"/>
    <col min="5" max="5" width="73.1640625" bestFit="1" customWidth="1"/>
    <col min="6" max="6" width="77.5" bestFit="1" customWidth="1"/>
    <col min="7" max="7" width="59" bestFit="1" customWidth="1"/>
    <col min="8" max="8" width="38.33203125" bestFit="1" customWidth="1"/>
    <col min="9" max="9" width="7.5" bestFit="1" customWidth="1"/>
  </cols>
  <sheetData>
    <row r="1" spans="1:9" x14ac:dyDescent="0.2">
      <c r="A1" s="1" t="s">
        <v>10</v>
      </c>
      <c r="B1" s="1" t="s">
        <v>11</v>
      </c>
      <c r="C1" s="1" t="s">
        <v>12</v>
      </c>
      <c r="D1" s="1" t="s">
        <v>13</v>
      </c>
      <c r="E1" s="1" t="s">
        <v>1</v>
      </c>
      <c r="F1" s="1" t="s">
        <v>14</v>
      </c>
      <c r="G1" s="1" t="s">
        <v>15</v>
      </c>
      <c r="H1" s="1" t="s">
        <v>16</v>
      </c>
      <c r="I1" s="1" t="s">
        <v>17</v>
      </c>
    </row>
    <row r="2" spans="1:9" x14ac:dyDescent="0.2">
      <c r="A2" t="s">
        <v>18</v>
      </c>
      <c r="B2" t="s">
        <v>19</v>
      </c>
      <c r="C2" t="s">
        <v>20</v>
      </c>
      <c r="D2" t="s">
        <v>21</v>
      </c>
      <c r="E2" t="s">
        <v>22</v>
      </c>
      <c r="F2" t="s">
        <v>23</v>
      </c>
      <c r="G2" t="s">
        <v>24</v>
      </c>
      <c r="H2" t="s">
        <v>25</v>
      </c>
      <c r="I2" t="s">
        <v>26</v>
      </c>
    </row>
    <row r="3" spans="1:9" x14ac:dyDescent="0.2">
      <c r="A3" t="s">
        <v>18</v>
      </c>
      <c r="B3" t="s">
        <v>19</v>
      </c>
      <c r="C3" t="s">
        <v>27</v>
      </c>
      <c r="D3" t="s">
        <v>28</v>
      </c>
      <c r="E3" t="s">
        <v>29</v>
      </c>
      <c r="F3" t="s">
        <v>30</v>
      </c>
      <c r="G3" t="s">
        <v>31</v>
      </c>
      <c r="H3" t="s">
        <v>32</v>
      </c>
      <c r="I3" t="s">
        <v>26</v>
      </c>
    </row>
    <row r="4" spans="1:9" x14ac:dyDescent="0.2">
      <c r="A4" t="s">
        <v>18</v>
      </c>
      <c r="B4" t="s">
        <v>19</v>
      </c>
      <c r="C4" t="s">
        <v>33</v>
      </c>
      <c r="D4" t="s">
        <v>34</v>
      </c>
      <c r="E4" t="s">
        <v>35</v>
      </c>
      <c r="F4" t="s">
        <v>36</v>
      </c>
      <c r="G4" t="s">
        <v>37</v>
      </c>
      <c r="H4" t="s">
        <v>38</v>
      </c>
      <c r="I4" t="s">
        <v>26</v>
      </c>
    </row>
    <row r="5" spans="1:9" x14ac:dyDescent="0.2">
      <c r="A5" t="s">
        <v>39</v>
      </c>
      <c r="B5" t="s">
        <v>19</v>
      </c>
      <c r="C5" t="s">
        <v>40</v>
      </c>
      <c r="D5" t="s">
        <v>41</v>
      </c>
      <c r="E5" t="s">
        <v>42</v>
      </c>
      <c r="F5" t="s">
        <v>43</v>
      </c>
      <c r="G5" t="s">
        <v>44</v>
      </c>
      <c r="H5" t="s">
        <v>45</v>
      </c>
      <c r="I5" t="s">
        <v>46</v>
      </c>
    </row>
    <row r="6" spans="1:9" x14ac:dyDescent="0.2">
      <c r="A6" t="s">
        <v>18</v>
      </c>
      <c r="B6" t="s">
        <v>47</v>
      </c>
      <c r="C6" t="s">
        <v>48</v>
      </c>
      <c r="D6" t="s">
        <v>49</v>
      </c>
      <c r="E6" t="s">
        <v>50</v>
      </c>
      <c r="F6" t="s">
        <v>51</v>
      </c>
      <c r="G6" t="s">
        <v>52</v>
      </c>
      <c r="H6" t="s">
        <v>53</v>
      </c>
      <c r="I6" t="s">
        <v>26</v>
      </c>
    </row>
    <row r="7" spans="1:9" x14ac:dyDescent="0.2">
      <c r="A7" t="s">
        <v>39</v>
      </c>
      <c r="B7" t="s">
        <v>47</v>
      </c>
      <c r="C7" s="2" t="s">
        <v>54</v>
      </c>
      <c r="D7" t="s">
        <v>55</v>
      </c>
      <c r="E7" t="s">
        <v>56</v>
      </c>
      <c r="F7" t="s">
        <v>57</v>
      </c>
      <c r="G7" t="s">
        <v>58</v>
      </c>
      <c r="H7" t="s">
        <v>59</v>
      </c>
      <c r="I7" t="s">
        <v>46</v>
      </c>
    </row>
    <row r="8" spans="1:9" x14ac:dyDescent="0.2">
      <c r="A8" t="s">
        <v>39</v>
      </c>
      <c r="B8" t="s">
        <v>10</v>
      </c>
      <c r="C8" s="2" t="s">
        <v>60</v>
      </c>
      <c r="D8" t="s">
        <v>61</v>
      </c>
      <c r="E8" t="s">
        <v>62</v>
      </c>
      <c r="F8" t="s">
        <v>63</v>
      </c>
      <c r="G8" t="s">
        <v>64</v>
      </c>
      <c r="H8" t="s">
        <v>65</v>
      </c>
      <c r="I8" t="s">
        <v>26</v>
      </c>
    </row>
    <row r="9" spans="1:9" x14ac:dyDescent="0.2">
      <c r="A9" t="s">
        <v>18</v>
      </c>
      <c r="B9" t="s">
        <v>10</v>
      </c>
      <c r="C9" t="s">
        <v>66</v>
      </c>
      <c r="D9" t="s">
        <v>67</v>
      </c>
      <c r="E9" t="s">
        <v>68</v>
      </c>
      <c r="F9" t="s">
        <v>69</v>
      </c>
      <c r="G9" t="s">
        <v>70</v>
      </c>
      <c r="H9" t="s">
        <v>71</v>
      </c>
      <c r="I9" t="s">
        <v>26</v>
      </c>
    </row>
    <row r="10" spans="1:9" x14ac:dyDescent="0.2">
      <c r="A10" t="s">
        <v>39</v>
      </c>
      <c r="B10" t="s">
        <v>72</v>
      </c>
      <c r="C10" s="2" t="s">
        <v>73</v>
      </c>
      <c r="D10" t="s">
        <v>74</v>
      </c>
      <c r="E10" t="s">
        <v>75</v>
      </c>
      <c r="F10" t="s">
        <v>76</v>
      </c>
      <c r="G10" t="s">
        <v>77</v>
      </c>
      <c r="H10" t="s">
        <v>78</v>
      </c>
      <c r="I10" t="s">
        <v>46</v>
      </c>
    </row>
    <row r="11" spans="1:9" x14ac:dyDescent="0.2">
      <c r="A11" t="s">
        <v>39</v>
      </c>
      <c r="B11" t="s">
        <v>72</v>
      </c>
      <c r="C11" s="2" t="s">
        <v>79</v>
      </c>
      <c r="D11" t="s">
        <v>80</v>
      </c>
      <c r="E11" t="s">
        <v>81</v>
      </c>
      <c r="F11" t="s">
        <v>82</v>
      </c>
      <c r="G11" t="s">
        <v>83</v>
      </c>
      <c r="H11" t="s">
        <v>84</v>
      </c>
      <c r="I11" t="s">
        <v>26</v>
      </c>
    </row>
    <row r="12" spans="1:9" x14ac:dyDescent="0.2">
      <c r="A12" t="s">
        <v>18</v>
      </c>
      <c r="B12" t="s">
        <v>85</v>
      </c>
      <c r="C12" t="s">
        <v>86</v>
      </c>
      <c r="D12" t="s">
        <v>87</v>
      </c>
      <c r="E12" t="s">
        <v>88</v>
      </c>
      <c r="F12" t="s">
        <v>89</v>
      </c>
      <c r="G12" t="s">
        <v>90</v>
      </c>
      <c r="H12" t="s">
        <v>91</v>
      </c>
      <c r="I12" t="s">
        <v>46</v>
      </c>
    </row>
    <row r="13" spans="1:9" x14ac:dyDescent="0.2">
      <c r="A13" t="s">
        <v>18</v>
      </c>
      <c r="B13" t="s">
        <v>85</v>
      </c>
      <c r="C13" t="s">
        <v>92</v>
      </c>
      <c r="D13" t="s">
        <v>93</v>
      </c>
      <c r="E13" t="s">
        <v>94</v>
      </c>
      <c r="F13" t="s">
        <v>95</v>
      </c>
      <c r="G13" t="s">
        <v>96</v>
      </c>
      <c r="H13" t="s">
        <v>97</v>
      </c>
      <c r="I13" t="s">
        <v>26</v>
      </c>
    </row>
    <row r="19" spans="5:5" x14ac:dyDescent="0.2">
      <c r="E19" t="s">
        <v>111</v>
      </c>
    </row>
    <row r="20" spans="5:5" x14ac:dyDescent="0.2">
      <c r="E20" t="s">
        <v>112</v>
      </c>
    </row>
    <row r="21" spans="5:5" x14ac:dyDescent="0.2">
      <c r="E21" t="s">
        <v>113</v>
      </c>
    </row>
    <row r="22" spans="5:5" x14ac:dyDescent="0.2">
      <c r="E22" t="s">
        <v>114</v>
      </c>
    </row>
    <row r="23" spans="5:5" x14ac:dyDescent="0.2">
      <c r="E23" t="s">
        <v>119</v>
      </c>
    </row>
    <row r="24" spans="5:5" x14ac:dyDescent="0.2">
      <c r="E24" t="s">
        <v>115</v>
      </c>
    </row>
    <row r="25" spans="5:5" x14ac:dyDescent="0.2">
      <c r="E25" t="s">
        <v>116</v>
      </c>
    </row>
    <row r="26" spans="5:5" x14ac:dyDescent="0.2">
      <c r="E26" t="s">
        <v>118</v>
      </c>
    </row>
    <row r="29" spans="5:5" x14ac:dyDescent="0.2">
      <c r="E29" t="s">
        <v>117</v>
      </c>
    </row>
    <row r="33" spans="5:5" x14ac:dyDescent="0.2">
      <c r="E33" t="s">
        <v>120</v>
      </c>
    </row>
    <row r="36" spans="5:5" x14ac:dyDescent="0.2">
      <c r="E36" s="3" t="s">
        <v>121</v>
      </c>
    </row>
    <row r="37" spans="5:5" x14ac:dyDescent="0.2">
      <c r="E37" t="s">
        <v>122</v>
      </c>
    </row>
    <row r="38" spans="5:5" x14ac:dyDescent="0.2">
      <c r="E38" t="s">
        <v>197</v>
      </c>
    </row>
    <row r="39" spans="5:5" x14ac:dyDescent="0.2">
      <c r="E39" t="s">
        <v>324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workbookViewId="0">
      <selection activeCell="B5" sqref="B5:B6"/>
    </sheetView>
  </sheetViews>
  <sheetFormatPr baseColWidth="10" defaultColWidth="8.83203125" defaultRowHeight="15" x14ac:dyDescent="0.2"/>
  <cols>
    <col min="1" max="1" width="7.33203125" bestFit="1" customWidth="1"/>
    <col min="2" max="2" width="12.5" bestFit="1" customWidth="1"/>
    <col min="3" max="3" width="50" bestFit="1" customWidth="1"/>
    <col min="4" max="4" width="72" bestFit="1" customWidth="1"/>
  </cols>
  <sheetData>
    <row r="1" spans="1:4" x14ac:dyDescent="0.2">
      <c r="A1" s="1" t="s">
        <v>10</v>
      </c>
      <c r="B1" s="1" t="s">
        <v>98</v>
      </c>
      <c r="C1" s="1" t="s">
        <v>99</v>
      </c>
      <c r="D1" s="1" t="s">
        <v>100</v>
      </c>
    </row>
    <row r="2" spans="1:4" x14ac:dyDescent="0.2">
      <c r="A2" t="s">
        <v>18</v>
      </c>
      <c r="B2" t="s">
        <v>101</v>
      </c>
      <c r="C2" t="s">
        <v>102</v>
      </c>
      <c r="D2" t="s">
        <v>103</v>
      </c>
    </row>
    <row r="3" spans="1:4" x14ac:dyDescent="0.2">
      <c r="A3" t="s">
        <v>39</v>
      </c>
      <c r="B3" t="s">
        <v>104</v>
      </c>
      <c r="C3" t="s">
        <v>105</v>
      </c>
      <c r="D3" t="s">
        <v>106</v>
      </c>
    </row>
    <row r="4" spans="1:4" x14ac:dyDescent="0.2">
      <c r="A4" t="s">
        <v>107</v>
      </c>
      <c r="B4" t="s">
        <v>108</v>
      </c>
      <c r="C4" t="s">
        <v>109</v>
      </c>
      <c r="D4"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README</vt:lpstr>
      <vt:lpstr>Taxonomy</vt:lpstr>
      <vt:lpstr>Baselines</vt:lpstr>
      <vt:lpstr>Biased</vt:lpstr>
      <vt:lpstr>Old_Taxonomy</vt:lpstr>
      <vt:lpstr>Context_Axis</vt:lpstr>
      <vt:lpstr>Taxonomy!LLM_Answer_Side_Bias_Taxonomy_v6</vt:lpstr>
      <vt:lpstr>Baselines!LLM_Judge_Baselines_Full_v1__1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Curb, Ethan</cp:lastModifiedBy>
  <cp:revision/>
  <dcterms:created xsi:type="dcterms:W3CDTF">2025-10-23T20:20:24Z</dcterms:created>
  <dcterms:modified xsi:type="dcterms:W3CDTF">2025-11-17T16:41:38Z</dcterms:modified>
  <cp:category/>
  <cp:contentStatus/>
</cp:coreProperties>
</file>